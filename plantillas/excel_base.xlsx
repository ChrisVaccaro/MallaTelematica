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tudiante\Downloads\"/>
    </mc:Choice>
  </mc:AlternateContent>
  <xr:revisionPtr revIDLastSave="0" documentId="13_ncr:1_{742D26A1-4183-4417-93C3-4D59C7962EFA}" xr6:coauthVersionLast="36" xr6:coauthVersionMax="47" xr10:uidLastSave="{00000000-0000-0000-0000-000000000000}"/>
  <bookViews>
    <workbookView xWindow="-60" yWindow="-60" windowWidth="15480" windowHeight="11640" tabRatio="570" xr2:uid="{73D17D42-2032-4221-9DBF-D2EB2D99B5D8}"/>
  </bookViews>
  <sheets>
    <sheet name="MODIFICACIONES EN ASIGNATURAS" sheetId="1" r:id="rId1"/>
    <sheet name="MALLA CURRICULAR" sheetId="5" r:id="rId2"/>
    <sheet name="TABLA DE EQUIVALENCIAS" sheetId="7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N35" i="5" l="1"/>
  <c r="BL35" i="5"/>
  <c r="BJ35" i="5"/>
  <c r="BN31" i="5"/>
  <c r="BL31" i="5"/>
  <c r="BJ31" i="5"/>
  <c r="BN27" i="5"/>
  <c r="BL27" i="5"/>
  <c r="BJ27" i="5"/>
  <c r="BN23" i="5"/>
  <c r="BL23" i="5"/>
  <c r="BJ23" i="5"/>
  <c r="BJ19" i="5"/>
  <c r="BL19" i="5"/>
  <c r="BN19" i="5"/>
  <c r="BN15" i="5"/>
  <c r="BL15" i="5"/>
  <c r="BJ15" i="5"/>
  <c r="BJ11" i="5"/>
  <c r="BL11" i="5"/>
  <c r="BN11" i="5"/>
  <c r="BN7" i="5"/>
  <c r="BL7" i="5"/>
  <c r="BJ7" i="5"/>
  <c r="BN8" i="5"/>
  <c r="BN9" i="5"/>
  <c r="BG35" i="5"/>
  <c r="BG31" i="5"/>
  <c r="BG27" i="5"/>
  <c r="BG23" i="5"/>
  <c r="BG19" i="5"/>
  <c r="BG15" i="5"/>
  <c r="BG11" i="5"/>
  <c r="BG7" i="5"/>
  <c r="AX35" i="5"/>
  <c r="AX31" i="5"/>
  <c r="AX27" i="5"/>
  <c r="AX23" i="5"/>
  <c r="AX19" i="5"/>
  <c r="AX15" i="5"/>
  <c r="AX11" i="5"/>
  <c r="AX7" i="5"/>
  <c r="AO35" i="5"/>
  <c r="AO31" i="5"/>
  <c r="AO27" i="5"/>
  <c r="AO23" i="5"/>
  <c r="AO19" i="5"/>
  <c r="AO15" i="5"/>
  <c r="AO11" i="5"/>
  <c r="AO7" i="5"/>
  <c r="AF35" i="5"/>
  <c r="AF31" i="5"/>
  <c r="AF27" i="5"/>
  <c r="AF23" i="5"/>
  <c r="AF19" i="5"/>
  <c r="AF15" i="5"/>
  <c r="AF11" i="5"/>
  <c r="AF7" i="5"/>
  <c r="W35" i="5"/>
  <c r="W31" i="5"/>
  <c r="W27" i="5"/>
  <c r="W23" i="5"/>
  <c r="W19" i="5"/>
  <c r="W15" i="5"/>
  <c r="W11" i="5"/>
  <c r="W7" i="5"/>
  <c r="N35" i="5"/>
  <c r="N31" i="5"/>
  <c r="N27" i="5"/>
  <c r="N23" i="5"/>
  <c r="N19" i="5"/>
  <c r="N15" i="5"/>
  <c r="N11" i="5"/>
  <c r="N7" i="5"/>
  <c r="R8" i="7"/>
  <c r="S8" i="7"/>
  <c r="H8" i="7"/>
  <c r="I8" i="7"/>
  <c r="L35" i="1"/>
  <c r="M35" i="1"/>
  <c r="L30" i="1"/>
  <c r="M30" i="1"/>
  <c r="L25" i="1"/>
  <c r="M25" i="1"/>
  <c r="L20" i="1"/>
  <c r="M20" i="1"/>
  <c r="L15" i="1"/>
  <c r="M15" i="1"/>
  <c r="L10" i="1"/>
  <c r="M10" i="1"/>
  <c r="H35" i="1"/>
  <c r="I35" i="1" s="1"/>
  <c r="H30" i="1"/>
  <c r="I30" i="1"/>
  <c r="H25" i="1"/>
  <c r="I25" i="1"/>
  <c r="H20" i="1"/>
  <c r="I20" i="1"/>
  <c r="H15" i="1"/>
  <c r="I15" i="1"/>
  <c r="H10" i="1"/>
  <c r="I10" i="1"/>
  <c r="L5" i="1"/>
  <c r="M5" i="1"/>
  <c r="H5" i="1"/>
  <c r="I5" i="1"/>
  <c r="I33" i="7"/>
  <c r="J8" i="7"/>
  <c r="J33" i="7"/>
  <c r="T8" i="7"/>
  <c r="T33" i="7"/>
  <c r="S33" i="7"/>
  <c r="BN12" i="5"/>
  <c r="BN13" i="5"/>
  <c r="BN28" i="5"/>
  <c r="BN29" i="5"/>
  <c r="BN24" i="5"/>
  <c r="BN25" i="5"/>
  <c r="BN20" i="5"/>
  <c r="BN21" i="5"/>
  <c r="BN32" i="5"/>
  <c r="BN33" i="5"/>
  <c r="BN44" i="5"/>
  <c r="BN36" i="5"/>
  <c r="BN37" i="5"/>
  <c r="BN16" i="5"/>
  <c r="BN17" i="5"/>
  <c r="BN43" i="5"/>
  <c r="BN42" i="5"/>
  <c r="BN48" i="5"/>
  <c r="BN49" i="5"/>
</calcChain>
</file>

<file path=xl/sharedStrings.xml><?xml version="1.0" encoding="utf-8"?>
<sst xmlns="http://schemas.openxmlformats.org/spreadsheetml/2006/main" count="491" uniqueCount="96">
  <si>
    <t>MODIFICACIÓN EN ASIGNATURAS DE LA MALLA CURRICULAR</t>
  </si>
  <si>
    <t>CÓDIGO</t>
  </si>
  <si>
    <t>NIVEL</t>
  </si>
  <si>
    <t>ASIGNATURA</t>
  </si>
  <si>
    <t>DETALLE/JUSTIFICACIÓN</t>
  </si>
  <si>
    <t>COD9999</t>
  </si>
  <si>
    <t>CÁLCULO DE UNA VARIABLE</t>
  </si>
  <si>
    <t>CAMBIO</t>
  </si>
  <si>
    <t>X</t>
  </si>
  <si>
    <t>VIGENTE</t>
  </si>
  <si>
    <t>TOTAL HORAS</t>
  </si>
  <si>
    <t>TOTAL CRÉDITOS</t>
  </si>
  <si>
    <t>PROPUESTO</t>
  </si>
  <si>
    <t>COMENTARIOS</t>
  </si>
  <si>
    <t>ELIMINACIÓN</t>
  </si>
  <si>
    <t>ACD</t>
  </si>
  <si>
    <t>CAMBIO DE CARGA HORARIA Y DISTRIBUCIÓN DE COMPONENTES POR REESTRUCTURACIÓN DE CONTENIDOS.</t>
  </si>
  <si>
    <t>CREACIÓN</t>
  </si>
  <si>
    <t>APE</t>
  </si>
  <si>
    <t>OTRO</t>
  </si>
  <si>
    <t>AA</t>
  </si>
  <si>
    <t>COD10000</t>
  </si>
  <si>
    <t>T</t>
  </si>
  <si>
    <t>SE ELIMINA POR REDISTRIBUCIÓN DE CONTENIDOS RELEVANTES EN OTRAS ASIGNATURAS. NO SE ALTERA EL PERFIL DE EGRESO.</t>
  </si>
  <si>
    <t>COD10001</t>
  </si>
  <si>
    <t>Y</t>
  </si>
  <si>
    <t>COD10002</t>
  </si>
  <si>
    <t>Z</t>
  </si>
  <si>
    <t>COD10003</t>
  </si>
  <si>
    <t>A</t>
  </si>
  <si>
    <t>COD10004</t>
  </si>
  <si>
    <t>B</t>
  </si>
  <si>
    <t>COD10005</t>
  </si>
  <si>
    <t>C</t>
  </si>
  <si>
    <t>MALLA CURRICULAR PROPUESTA</t>
  </si>
  <si>
    <t>I SEMESTRE</t>
  </si>
  <si>
    <t>NIVEL 100 - I</t>
  </si>
  <si>
    <t xml:space="preserve">A </t>
  </si>
  <si>
    <t>ACD:</t>
  </si>
  <si>
    <t>APE:</t>
  </si>
  <si>
    <t>AA:</t>
  </si>
  <si>
    <t>CR</t>
  </si>
  <si>
    <t>TOTAL DE HORAS (Semestrales)</t>
  </si>
  <si>
    <t>TOTAL DE  CREDITOS</t>
  </si>
  <si>
    <t>NIVEL 100 - II</t>
  </si>
  <si>
    <t>II SEMESTRE</t>
  </si>
  <si>
    <t>NIVEL 200 - I</t>
  </si>
  <si>
    <t>NIVEL 200 - II</t>
  </si>
  <si>
    <t>III SEMESTRE</t>
  </si>
  <si>
    <t>NIVEL 300 - I</t>
  </si>
  <si>
    <t>NIVEL 300 - II</t>
  </si>
  <si>
    <t>IV SEMESTRE</t>
  </si>
  <si>
    <t>NIVEL 400 - I</t>
  </si>
  <si>
    <t>NIVEL 400 - II</t>
  </si>
  <si>
    <t>Nombre de Asigntura</t>
  </si>
  <si>
    <t>Hora de Aprendizaje en contacto con el docente</t>
  </si>
  <si>
    <t>Horas de Aprendizaje práctico-experimental</t>
  </si>
  <si>
    <t>Horas de Aprendizaje Autonomo</t>
  </si>
  <si>
    <t>TOTAL HORAS ACD</t>
  </si>
  <si>
    <t>TOTAL DE HORAS APE</t>
  </si>
  <si>
    <t>Matemática y Ciencias Básicas</t>
  </si>
  <si>
    <t>TOTAL DE HORAS AA</t>
  </si>
  <si>
    <t>Educación General</t>
  </si>
  <si>
    <t>TOTAL DE PRACTICAS PREPROFESIONALES EMPRESARIALES</t>
  </si>
  <si>
    <t>C de Arte y Deportes</t>
  </si>
  <si>
    <t>TOTAL DE PRÁCTICAS DE SERVICIOS COMUNITARIOS</t>
  </si>
  <si>
    <t>U. de Integración Curricular</t>
  </si>
  <si>
    <t>INTEGRACIÓN CURRICULAR</t>
  </si>
  <si>
    <t>Itinerario</t>
  </si>
  <si>
    <t>TOTAL DE HORAS</t>
  </si>
  <si>
    <t>Formación Profesional</t>
  </si>
  <si>
    <t>TOTAL DE CRÉDITOS</t>
  </si>
  <si>
    <t>C de Humanísticas</t>
  </si>
  <si>
    <t>Prácticas Comunitarias</t>
  </si>
  <si>
    <t>Prácticas Empresariales</t>
  </si>
  <si>
    <t>ELABORADO POR:</t>
  </si>
  <si>
    <t>VALIDADO Y APROBADO POR:</t>
  </si>
  <si>
    <t>TABLA DE EQUIVALENCIAS</t>
  </si>
  <si>
    <t xml:space="preserve">CARRERA: </t>
  </si>
  <si>
    <t>FECHA DE PRESENTACIÓN</t>
  </si>
  <si>
    <t>MALLA VIGENTE</t>
  </si>
  <si>
    <t>MALLA PROPUESTA</t>
  </si>
  <si>
    <t>Análisis de Equivalencia</t>
  </si>
  <si>
    <t>Componentes del Aprendizaje</t>
  </si>
  <si>
    <t>Carga Horaria</t>
  </si>
  <si>
    <t>Nro.</t>
  </si>
  <si>
    <t>ACD (Aprendizaje en contacto con el docente)</t>
  </si>
  <si>
    <t>APE (Aprendizaje práxctico y experimental)</t>
  </si>
  <si>
    <t>AA (Aprendizaje Autonomo)</t>
  </si>
  <si>
    <t>Horas/semana</t>
  </si>
  <si>
    <t>Horas/PAO</t>
  </si>
  <si>
    <t>Créditos</t>
  </si>
  <si>
    <t>Acredita (A) o convalida ( C )</t>
  </si>
  <si>
    <t>% Similitud de Contenidos</t>
  </si>
  <si>
    <t xml:space="preserve">Observaciones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</si>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</sst>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6DFE6"/>
        <bgColor indexed="64"/>
      </patternFill>
    </fill>
    <fill>
      <patternFill patternType="solid">
        <fgColor rgb="FFF8C1A0"/>
        <bgColor indexed="64"/>
      </patternFill>
    </fill>
    <fill>
      <patternFill patternType="solid">
        <fgColor rgb="FF003566"/>
        <bgColor indexed="64"/>
      </patternFill>
    </fill>
    <fill>
      <patternFill patternType="solid">
        <fgColor rgb="FF7092BE"/>
        <bgColor indexed="64"/>
      </patternFill>
    </fill>
    <fill>
      <patternFill patternType="solid">
        <fgColor rgb="FFFBEFAE"/>
        <bgColor indexed="64"/>
      </patternFill>
    </fill>
    <fill>
      <patternFill patternType="solid">
        <fgColor rgb="FF93D0CC"/>
        <bgColor indexed="64"/>
      </patternFill>
    </fill>
    <fill>
      <patternFill patternType="solid">
        <fgColor rgb="FFFCDC7D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2" fillId="0" borderId="1" xfId="0" applyFont="1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2" fillId="2" borderId="2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4" borderId="5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vertical="center" wrapText="1"/>
    </xf>
    <xf numFmtId="0" fontId="0" fillId="0" borderId="0" xfId="0" applyAlignment="1">
      <alignment horizontal="left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vertical="center" wrapText="1"/>
    </xf>
    <xf numFmtId="0" fontId="0" fillId="0" borderId="7" xfId="0" applyBorder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0" fillId="0" borderId="6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0" xfId="0" applyAlignment="1">
      <alignment horizontal="left"/>
    </xf>
    <xf numFmtId="0" fontId="5" fillId="0" borderId="6" xfId="0" applyFont="1" applyBorder="1" applyAlignment="1">
      <alignment horizontal="center" vertical="center" textRotation="90"/>
    </xf>
    <xf numFmtId="0" fontId="5" fillId="0" borderId="8" xfId="0" applyFont="1" applyBorder="1" applyAlignment="1">
      <alignment horizontal="center" vertical="center" textRotation="90"/>
    </xf>
    <xf numFmtId="0" fontId="5" fillId="0" borderId="2" xfId="0" applyFont="1" applyBorder="1" applyAlignment="1">
      <alignment horizontal="center" vertical="center" textRotation="90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textRotation="90"/>
    </xf>
    <xf numFmtId="0" fontId="2" fillId="0" borderId="1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1" xfId="0" applyFont="1" applyBorder="1" applyAlignment="1">
      <alignment horizontal="center"/>
    </xf>
    <xf numFmtId="0" fontId="2" fillId="5" borderId="10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1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2" fillId="6" borderId="9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335606</xdr:colOff>
      <xdr:row>0</xdr:row>
      <xdr:rowOff>148166</xdr:rowOff>
    </xdr:from>
    <xdr:to>
      <xdr:col>2</xdr:col>
      <xdr:colOff>1192385</xdr:colOff>
      <xdr:row>1</xdr:row>
      <xdr:rowOff>224231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EE55EF2-E4D0-4CAA-BCDA-10234ED58D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5606" y="148166"/>
          <a:ext cx="2380779" cy="55584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142876</xdr:colOff>
      <xdr:row>0</xdr:row>
      <xdr:rowOff>76201</xdr:rowOff>
    </xdr:from>
    <xdr:to>
      <xdr:col>9</xdr:col>
      <xdr:colOff>19050</xdr:colOff>
      <xdr:row>2</xdr:row>
      <xdr:rowOff>171097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59E7A71-2D83-4959-A1FA-6C4DCC7C72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2576" y="76201"/>
          <a:ext cx="2038349" cy="4758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73226</xdr:colOff>
      <xdr:row>0</xdr:row>
      <xdr:rowOff>46375</xdr:rowOff>
    </xdr:from>
    <xdr:to>
      <xdr:col>1</xdr:col>
      <xdr:colOff>539151</xdr:colOff>
      <xdr:row>1</xdr:row>
      <xdr:rowOff>143370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649963F-6A4F-4CB7-BC82-0A1ADB6E3D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226" y="46375"/>
          <a:ext cx="1226727" cy="2886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DF5BE-B64F-40C3-9167-0581D119B289}">
  <dimension ref="A1:N37"/>
  <sheetViews>
    <sheetView tabSelected="1" zoomScale="51" zoomScaleNormal="85" workbookViewId="0">
      <selection sqref="A1:N2"/>
    </sheetView>
  </sheetViews>
  <sheetFormatPr baseColWidth="10" defaultColWidth="9.140625" defaultRowHeight="15" x14ac:dyDescent="0.25"/>
  <cols>
    <col min="1" max="2" width="11.42578125" customWidth="1"/>
    <col min="3" max="3" width="22.140625" customWidth="1"/>
    <col min="4" max="4" width="14" customWidth="1"/>
    <col min="5" max="5" width="3.42578125" style="2" customWidth="1"/>
    <col min="6" max="6" width="11.42578125" customWidth="1"/>
    <col min="7" max="7" width="4.28515625" style="1" customWidth="1"/>
    <col min="8" max="8" width="18.5703125" style="1" bestFit="1" customWidth="1"/>
    <col min="9" max="9" width="22" style="1" bestFit="1" customWidth="1"/>
    <col min="10" max="10" width="15.28515625" customWidth="1"/>
    <col min="11" max="11" width="5.85546875" style="1" customWidth="1"/>
    <col min="12" max="12" width="18.5703125" style="1" bestFit="1" customWidth="1"/>
    <col min="13" max="13" width="22" style="1" bestFit="1" customWidth="1"/>
    <col min="14" max="14" width="47.7109375" customWidth="1"/>
    <col min="15" max="256" width="11.42578125" customWidth="1"/>
  </cols>
  <sheetData>
    <row r="1" spans="1:14" ht="37.5" customHeight="1" x14ac:dyDescent="0.25">
      <c r="A1" s="48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</row>
    <row r="2" spans="1:14" ht="32.25" customHeight="1" x14ac:dyDescent="0.25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</row>
    <row r="3" spans="1:14" ht="21" customHeight="1" x14ac:dyDescent="0.25">
      <c r="A3" s="12" t="s">
        <v>1</v>
      </c>
      <c r="B3" s="12" t="s">
        <v>2</v>
      </c>
      <c r="C3" s="12" t="s">
        <v>3</v>
      </c>
      <c r="D3" s="38" t="s">
        <v>4</v>
      </c>
      <c r="E3" s="39"/>
      <c r="F3" s="39"/>
      <c r="G3" s="39"/>
      <c r="H3" s="39"/>
      <c r="I3" s="39"/>
      <c r="J3" s="39"/>
      <c r="K3" s="39"/>
      <c r="L3" s="39"/>
      <c r="M3" s="39"/>
      <c r="N3" s="40"/>
    </row>
    <row r="4" spans="1:14" x14ac:dyDescent="0.25">
      <c r="A4" s="31" t="s">
        <v>5</v>
      </c>
      <c r="B4" s="36"/>
      <c r="C4" s="42" t="s">
        <v>6</v>
      </c>
      <c r="D4" s="8" t="s">
        <v>7</v>
      </c>
      <c r="E4" s="10" t="s">
        <v>8</v>
      </c>
      <c r="F4" s="54" t="s">
        <v>9</v>
      </c>
      <c r="G4" s="54"/>
      <c r="H4" s="9" t="s">
        <v>10</v>
      </c>
      <c r="I4" s="9" t="s">
        <v>11</v>
      </c>
      <c r="J4" s="54" t="s">
        <v>12</v>
      </c>
      <c r="K4" s="54"/>
      <c r="L4" s="9" t="s">
        <v>10</v>
      </c>
      <c r="M4" s="9" t="s">
        <v>11</v>
      </c>
      <c r="N4" s="9" t="s">
        <v>13</v>
      </c>
    </row>
    <row r="5" spans="1:14" ht="14.45" customHeight="1" x14ac:dyDescent="0.25">
      <c r="A5" s="31"/>
      <c r="B5" s="36"/>
      <c r="C5" s="42"/>
      <c r="D5" s="4" t="s">
        <v>14</v>
      </c>
      <c r="E5" s="11"/>
      <c r="F5" s="7" t="s">
        <v>15</v>
      </c>
      <c r="G5" s="5">
        <v>3</v>
      </c>
      <c r="H5" s="35">
        <f>(G5+G6+G7)*16</f>
        <v>144</v>
      </c>
      <c r="I5" s="51">
        <f>H5/48</f>
        <v>3</v>
      </c>
      <c r="J5" s="7" t="s">
        <v>15</v>
      </c>
      <c r="K5" s="5">
        <v>4</v>
      </c>
      <c r="L5" s="35">
        <f>(K5+K6+K7)*16</f>
        <v>144</v>
      </c>
      <c r="M5" s="51">
        <f>L5/48</f>
        <v>3</v>
      </c>
      <c r="N5" s="45" t="s">
        <v>16</v>
      </c>
    </row>
    <row r="6" spans="1:14" x14ac:dyDescent="0.25">
      <c r="A6" s="31"/>
      <c r="B6" s="36"/>
      <c r="C6" s="42"/>
      <c r="D6" s="4" t="s">
        <v>17</v>
      </c>
      <c r="E6" s="11"/>
      <c r="F6" s="7" t="s">
        <v>18</v>
      </c>
      <c r="G6" s="5">
        <v>2</v>
      </c>
      <c r="H6" s="36"/>
      <c r="I6" s="52"/>
      <c r="J6" s="7" t="s">
        <v>18</v>
      </c>
      <c r="K6" s="5">
        <v>1</v>
      </c>
      <c r="L6" s="36"/>
      <c r="M6" s="52"/>
      <c r="N6" s="46"/>
    </row>
    <row r="7" spans="1:14" x14ac:dyDescent="0.25">
      <c r="A7" s="31"/>
      <c r="B7" s="37"/>
      <c r="C7" s="43"/>
      <c r="D7" s="4" t="s">
        <v>19</v>
      </c>
      <c r="E7" s="3"/>
      <c r="F7" s="7" t="s">
        <v>20</v>
      </c>
      <c r="G7" s="5">
        <v>4</v>
      </c>
      <c r="H7" s="37"/>
      <c r="I7" s="53"/>
      <c r="J7" s="7" t="s">
        <v>20</v>
      </c>
      <c r="K7" s="5">
        <v>4</v>
      </c>
      <c r="L7" s="37"/>
      <c r="M7" s="53"/>
      <c r="N7" s="47"/>
    </row>
    <row r="8" spans="1:14" x14ac:dyDescent="0.25">
      <c r="A8" s="32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4"/>
    </row>
    <row r="9" spans="1:14" x14ac:dyDescent="0.25">
      <c r="A9" s="31" t="s">
        <v>21</v>
      </c>
      <c r="B9" s="35"/>
      <c r="C9" s="41" t="s">
        <v>22</v>
      </c>
      <c r="D9" s="4" t="s">
        <v>7</v>
      </c>
      <c r="E9" s="11"/>
      <c r="F9" s="44" t="s">
        <v>9</v>
      </c>
      <c r="G9" s="44"/>
      <c r="H9" s="9" t="s">
        <v>10</v>
      </c>
      <c r="I9" s="9" t="s">
        <v>11</v>
      </c>
      <c r="J9" s="44" t="s">
        <v>12</v>
      </c>
      <c r="K9" s="44"/>
      <c r="L9" s="9" t="s">
        <v>10</v>
      </c>
      <c r="M9" s="9" t="s">
        <v>11</v>
      </c>
      <c r="N9" s="9" t="s">
        <v>13</v>
      </c>
    </row>
    <row r="10" spans="1:14" x14ac:dyDescent="0.25">
      <c r="A10" s="31"/>
      <c r="B10" s="36"/>
      <c r="C10" s="42"/>
      <c r="D10" s="4" t="s">
        <v>14</v>
      </c>
      <c r="E10" s="11" t="s">
        <v>8</v>
      </c>
      <c r="F10" s="7" t="s">
        <v>15</v>
      </c>
      <c r="G10" s="5">
        <v>2</v>
      </c>
      <c r="H10" s="35">
        <f>(G10+G11+G12)*16</f>
        <v>96</v>
      </c>
      <c r="I10" s="51">
        <f>H10/48</f>
        <v>2</v>
      </c>
      <c r="J10" s="7" t="s">
        <v>15</v>
      </c>
      <c r="K10" s="5">
        <v>0</v>
      </c>
      <c r="L10" s="35">
        <f>(K10+K11+K12)*16</f>
        <v>0</v>
      </c>
      <c r="M10" s="51">
        <f>L10/48</f>
        <v>0</v>
      </c>
      <c r="N10" s="45" t="s">
        <v>23</v>
      </c>
    </row>
    <row r="11" spans="1:14" x14ac:dyDescent="0.25">
      <c r="A11" s="31"/>
      <c r="B11" s="36"/>
      <c r="C11" s="42"/>
      <c r="D11" s="4" t="s">
        <v>17</v>
      </c>
      <c r="E11" s="11"/>
      <c r="F11" s="7" t="s">
        <v>18</v>
      </c>
      <c r="G11" s="5">
        <v>2</v>
      </c>
      <c r="H11" s="36"/>
      <c r="I11" s="52"/>
      <c r="J11" s="7" t="s">
        <v>18</v>
      </c>
      <c r="K11" s="5">
        <v>0</v>
      </c>
      <c r="L11" s="36"/>
      <c r="M11" s="52"/>
      <c r="N11" s="46"/>
    </row>
    <row r="12" spans="1:14" x14ac:dyDescent="0.25">
      <c r="A12" s="31"/>
      <c r="B12" s="37"/>
      <c r="C12" s="43"/>
      <c r="D12" s="4" t="s">
        <v>19</v>
      </c>
      <c r="E12" s="3"/>
      <c r="F12" s="7" t="s">
        <v>20</v>
      </c>
      <c r="G12" s="5">
        <v>2</v>
      </c>
      <c r="H12" s="37"/>
      <c r="I12" s="53"/>
      <c r="J12" s="7" t="s">
        <v>20</v>
      </c>
      <c r="K12" s="5">
        <v>0</v>
      </c>
      <c r="L12" s="37"/>
      <c r="M12" s="53"/>
      <c r="N12" s="47"/>
    </row>
    <row r="13" spans="1:14" x14ac:dyDescent="0.25">
      <c r="A13" s="32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4"/>
    </row>
    <row r="14" spans="1:14" x14ac:dyDescent="0.25">
      <c r="A14" s="31" t="s">
        <v>24</v>
      </c>
      <c r="B14" s="35"/>
      <c r="C14" s="41" t="s">
        <v>25</v>
      </c>
      <c r="D14" s="4" t="s">
        <v>7</v>
      </c>
      <c r="E14" s="11"/>
      <c r="F14" s="49" t="s">
        <v>9</v>
      </c>
      <c r="G14" s="50"/>
      <c r="H14" s="9" t="s">
        <v>10</v>
      </c>
      <c r="I14" s="9" t="s">
        <v>11</v>
      </c>
      <c r="J14" s="49" t="s">
        <v>12</v>
      </c>
      <c r="K14" s="50"/>
      <c r="L14" s="9" t="s">
        <v>10</v>
      </c>
      <c r="M14" s="9" t="s">
        <v>11</v>
      </c>
      <c r="N14" s="9" t="s">
        <v>13</v>
      </c>
    </row>
    <row r="15" spans="1:14" x14ac:dyDescent="0.25">
      <c r="A15" s="31"/>
      <c r="B15" s="36"/>
      <c r="C15" s="42"/>
      <c r="D15" s="4" t="s">
        <v>14</v>
      </c>
      <c r="E15" s="11"/>
      <c r="F15" s="7" t="s">
        <v>15</v>
      </c>
      <c r="G15" s="5"/>
      <c r="H15" s="35">
        <f>(G15+G16+G17)*16</f>
        <v>0</v>
      </c>
      <c r="I15" s="51">
        <f>H15/48</f>
        <v>0</v>
      </c>
      <c r="J15" s="7" t="s">
        <v>15</v>
      </c>
      <c r="K15" s="5"/>
      <c r="L15" s="35">
        <f>(K15+K16+K17)*16</f>
        <v>0</v>
      </c>
      <c r="M15" s="51">
        <f>L15/48</f>
        <v>0</v>
      </c>
      <c r="N15" s="45"/>
    </row>
    <row r="16" spans="1:14" x14ac:dyDescent="0.25">
      <c r="A16" s="31"/>
      <c r="B16" s="36"/>
      <c r="C16" s="42"/>
      <c r="D16" s="4" t="s">
        <v>17</v>
      </c>
      <c r="E16" s="11"/>
      <c r="F16" s="7" t="s">
        <v>18</v>
      </c>
      <c r="G16" s="5"/>
      <c r="H16" s="36"/>
      <c r="I16" s="52"/>
      <c r="J16" s="7" t="s">
        <v>18</v>
      </c>
      <c r="K16" s="5"/>
      <c r="L16" s="36"/>
      <c r="M16" s="52"/>
      <c r="N16" s="46"/>
    </row>
    <row r="17" spans="1:14" x14ac:dyDescent="0.25">
      <c r="A17" s="31"/>
      <c r="B17" s="37"/>
      <c r="C17" s="43"/>
      <c r="D17" s="4" t="s">
        <v>19</v>
      </c>
      <c r="E17" s="3"/>
      <c r="F17" s="7" t="s">
        <v>20</v>
      </c>
      <c r="G17" s="5"/>
      <c r="H17" s="37"/>
      <c r="I17" s="53"/>
      <c r="J17" s="7" t="s">
        <v>20</v>
      </c>
      <c r="K17" s="5"/>
      <c r="L17" s="37"/>
      <c r="M17" s="53"/>
      <c r="N17" s="47"/>
    </row>
    <row r="18" spans="1:14" x14ac:dyDescent="0.25">
      <c r="A18" s="32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4"/>
    </row>
    <row r="19" spans="1:14" x14ac:dyDescent="0.25">
      <c r="A19" s="31" t="s">
        <v>26</v>
      </c>
      <c r="B19" s="35"/>
      <c r="C19" s="41" t="s">
        <v>27</v>
      </c>
      <c r="D19" s="4" t="s">
        <v>7</v>
      </c>
      <c r="E19" s="11"/>
      <c r="F19" s="44" t="s">
        <v>9</v>
      </c>
      <c r="G19" s="44"/>
      <c r="H19" s="9" t="s">
        <v>10</v>
      </c>
      <c r="I19" s="9" t="s">
        <v>11</v>
      </c>
      <c r="J19" s="44" t="s">
        <v>12</v>
      </c>
      <c r="K19" s="44"/>
      <c r="L19" s="9" t="s">
        <v>10</v>
      </c>
      <c r="M19" s="9" t="s">
        <v>11</v>
      </c>
      <c r="N19" s="9" t="s">
        <v>13</v>
      </c>
    </row>
    <row r="20" spans="1:14" x14ac:dyDescent="0.25">
      <c r="A20" s="31"/>
      <c r="B20" s="36"/>
      <c r="C20" s="42"/>
      <c r="D20" s="4" t="s">
        <v>14</v>
      </c>
      <c r="E20" s="11"/>
      <c r="F20" s="7" t="s">
        <v>15</v>
      </c>
      <c r="G20" s="5"/>
      <c r="H20" s="35">
        <f>(G20+G21+G22)*16</f>
        <v>0</v>
      </c>
      <c r="I20" s="51">
        <f>H20/48</f>
        <v>0</v>
      </c>
      <c r="J20" s="7" t="s">
        <v>15</v>
      </c>
      <c r="K20" s="5"/>
      <c r="L20" s="35">
        <f>(K20+K21+K22)*16</f>
        <v>0</v>
      </c>
      <c r="M20" s="51">
        <f>L20/48</f>
        <v>0</v>
      </c>
      <c r="N20" s="45"/>
    </row>
    <row r="21" spans="1:14" x14ac:dyDescent="0.25">
      <c r="A21" s="31"/>
      <c r="B21" s="36"/>
      <c r="C21" s="42"/>
      <c r="D21" s="4" t="s">
        <v>17</v>
      </c>
      <c r="E21" s="11"/>
      <c r="F21" s="7" t="s">
        <v>18</v>
      </c>
      <c r="G21" s="5"/>
      <c r="H21" s="36"/>
      <c r="I21" s="52"/>
      <c r="J21" s="7" t="s">
        <v>18</v>
      </c>
      <c r="K21" s="5"/>
      <c r="L21" s="36"/>
      <c r="M21" s="52"/>
      <c r="N21" s="46"/>
    </row>
    <row r="22" spans="1:14" x14ac:dyDescent="0.25">
      <c r="A22" s="31"/>
      <c r="B22" s="37"/>
      <c r="C22" s="43"/>
      <c r="D22" s="4" t="s">
        <v>19</v>
      </c>
      <c r="E22" s="3"/>
      <c r="F22" s="7" t="s">
        <v>20</v>
      </c>
      <c r="G22" s="5"/>
      <c r="H22" s="37"/>
      <c r="I22" s="53"/>
      <c r="J22" s="7" t="s">
        <v>20</v>
      </c>
      <c r="K22" s="5"/>
      <c r="L22" s="37"/>
      <c r="M22" s="53"/>
      <c r="N22" s="47"/>
    </row>
    <row r="23" spans="1:14" x14ac:dyDescent="0.25">
      <c r="A23" s="32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4"/>
    </row>
    <row r="24" spans="1:14" x14ac:dyDescent="0.25">
      <c r="A24" s="31" t="s">
        <v>28</v>
      </c>
      <c r="B24" s="35"/>
      <c r="C24" s="41" t="s">
        <v>29</v>
      </c>
      <c r="D24" s="4" t="s">
        <v>7</v>
      </c>
      <c r="E24" s="11"/>
      <c r="F24" s="44" t="s">
        <v>9</v>
      </c>
      <c r="G24" s="44"/>
      <c r="H24" s="9" t="s">
        <v>10</v>
      </c>
      <c r="I24" s="9" t="s">
        <v>11</v>
      </c>
      <c r="J24" s="44" t="s">
        <v>12</v>
      </c>
      <c r="K24" s="44"/>
      <c r="L24" s="9" t="s">
        <v>10</v>
      </c>
      <c r="M24" s="9" t="s">
        <v>11</v>
      </c>
      <c r="N24" s="9" t="s">
        <v>13</v>
      </c>
    </row>
    <row r="25" spans="1:14" x14ac:dyDescent="0.25">
      <c r="A25" s="31"/>
      <c r="B25" s="36"/>
      <c r="C25" s="42"/>
      <c r="D25" s="4" t="s">
        <v>14</v>
      </c>
      <c r="E25" s="11"/>
      <c r="F25" s="7" t="s">
        <v>15</v>
      </c>
      <c r="G25" s="5"/>
      <c r="H25" s="35">
        <f>(G25+G26+G27)*16</f>
        <v>0</v>
      </c>
      <c r="I25" s="51">
        <f>H25/48</f>
        <v>0</v>
      </c>
      <c r="J25" s="7" t="s">
        <v>15</v>
      </c>
      <c r="K25" s="5"/>
      <c r="L25" s="35">
        <f>(K25+K26+K27)*16</f>
        <v>0</v>
      </c>
      <c r="M25" s="51">
        <f>L25/48</f>
        <v>0</v>
      </c>
      <c r="N25" s="45"/>
    </row>
    <row r="26" spans="1:14" x14ac:dyDescent="0.25">
      <c r="A26" s="31"/>
      <c r="B26" s="36"/>
      <c r="C26" s="42"/>
      <c r="D26" s="4" t="s">
        <v>17</v>
      </c>
      <c r="E26" s="11"/>
      <c r="F26" s="7" t="s">
        <v>18</v>
      </c>
      <c r="G26" s="5"/>
      <c r="H26" s="36"/>
      <c r="I26" s="52"/>
      <c r="J26" s="7" t="s">
        <v>18</v>
      </c>
      <c r="K26" s="5"/>
      <c r="L26" s="36"/>
      <c r="M26" s="52"/>
      <c r="N26" s="46"/>
    </row>
    <row r="27" spans="1:14" x14ac:dyDescent="0.25">
      <c r="A27" s="31"/>
      <c r="B27" s="37"/>
      <c r="C27" s="43"/>
      <c r="D27" s="4" t="s">
        <v>19</v>
      </c>
      <c r="E27" s="3"/>
      <c r="F27" s="7" t="s">
        <v>20</v>
      </c>
      <c r="G27" s="5"/>
      <c r="H27" s="37"/>
      <c r="I27" s="53"/>
      <c r="J27" s="7" t="s">
        <v>20</v>
      </c>
      <c r="K27" s="5"/>
      <c r="L27" s="37"/>
      <c r="M27" s="53"/>
      <c r="N27" s="47"/>
    </row>
    <row r="28" spans="1:14" x14ac:dyDescent="0.25">
      <c r="A28" s="32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4"/>
    </row>
    <row r="29" spans="1:14" x14ac:dyDescent="0.25">
      <c r="A29" s="31" t="s">
        <v>30</v>
      </c>
      <c r="B29" s="35"/>
      <c r="C29" s="41" t="s">
        <v>31</v>
      </c>
      <c r="D29" s="4" t="s">
        <v>7</v>
      </c>
      <c r="E29" s="11"/>
      <c r="F29" s="44" t="s">
        <v>9</v>
      </c>
      <c r="G29" s="44"/>
      <c r="H29" s="9" t="s">
        <v>10</v>
      </c>
      <c r="I29" s="9" t="s">
        <v>11</v>
      </c>
      <c r="J29" s="44" t="s">
        <v>12</v>
      </c>
      <c r="K29" s="44"/>
      <c r="L29" s="9" t="s">
        <v>10</v>
      </c>
      <c r="M29" s="9" t="s">
        <v>11</v>
      </c>
      <c r="N29" s="9" t="s">
        <v>13</v>
      </c>
    </row>
    <row r="30" spans="1:14" x14ac:dyDescent="0.25">
      <c r="A30" s="31"/>
      <c r="B30" s="36"/>
      <c r="C30" s="42"/>
      <c r="D30" s="4" t="s">
        <v>14</v>
      </c>
      <c r="E30" s="11"/>
      <c r="F30" s="7" t="s">
        <v>15</v>
      </c>
      <c r="G30" s="5"/>
      <c r="H30" s="35">
        <f>(G30+G31+G32)*16</f>
        <v>0</v>
      </c>
      <c r="I30" s="51">
        <f>H30/48</f>
        <v>0</v>
      </c>
      <c r="J30" s="7" t="s">
        <v>15</v>
      </c>
      <c r="K30" s="5"/>
      <c r="L30" s="35">
        <f>(K30+K31+K32)*16</f>
        <v>0</v>
      </c>
      <c r="M30" s="51">
        <f>L30/48</f>
        <v>0</v>
      </c>
      <c r="N30" s="45"/>
    </row>
    <row r="31" spans="1:14" x14ac:dyDescent="0.25">
      <c r="A31" s="31"/>
      <c r="B31" s="36"/>
      <c r="C31" s="42"/>
      <c r="D31" s="4" t="s">
        <v>17</v>
      </c>
      <c r="E31" s="11"/>
      <c r="F31" s="7" t="s">
        <v>18</v>
      </c>
      <c r="G31" s="5"/>
      <c r="H31" s="36"/>
      <c r="I31" s="52"/>
      <c r="J31" s="7" t="s">
        <v>18</v>
      </c>
      <c r="K31" s="5"/>
      <c r="L31" s="36"/>
      <c r="M31" s="52"/>
      <c r="N31" s="46"/>
    </row>
    <row r="32" spans="1:14" x14ac:dyDescent="0.25">
      <c r="A32" s="31"/>
      <c r="B32" s="37"/>
      <c r="C32" s="43"/>
      <c r="D32" s="4" t="s">
        <v>19</v>
      </c>
      <c r="E32" s="3"/>
      <c r="F32" s="7" t="s">
        <v>20</v>
      </c>
      <c r="G32" s="5"/>
      <c r="H32" s="37"/>
      <c r="I32" s="53"/>
      <c r="J32" s="7" t="s">
        <v>20</v>
      </c>
      <c r="K32" s="5"/>
      <c r="L32" s="37"/>
      <c r="M32" s="53"/>
      <c r="N32" s="47"/>
    </row>
    <row r="33" spans="1:14" x14ac:dyDescent="0.25">
      <c r="A33" s="32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4"/>
    </row>
    <row r="34" spans="1:14" x14ac:dyDescent="0.25">
      <c r="A34" s="31" t="s">
        <v>32</v>
      </c>
      <c r="B34" s="35"/>
      <c r="C34" s="41" t="s">
        <v>33</v>
      </c>
      <c r="D34" s="4" t="s">
        <v>7</v>
      </c>
      <c r="E34" s="11"/>
      <c r="F34" s="44" t="s">
        <v>9</v>
      </c>
      <c r="G34" s="44"/>
      <c r="H34" s="9" t="s">
        <v>10</v>
      </c>
      <c r="I34" s="9" t="s">
        <v>11</v>
      </c>
      <c r="J34" s="44" t="s">
        <v>12</v>
      </c>
      <c r="K34" s="44"/>
      <c r="L34" s="9" t="s">
        <v>10</v>
      </c>
      <c r="M34" s="9" t="s">
        <v>11</v>
      </c>
      <c r="N34" s="9" t="s">
        <v>13</v>
      </c>
    </row>
    <row r="35" spans="1:14" x14ac:dyDescent="0.25">
      <c r="A35" s="31"/>
      <c r="B35" s="36"/>
      <c r="C35" s="42"/>
      <c r="D35" s="4" t="s">
        <v>14</v>
      </c>
      <c r="E35" s="11"/>
      <c r="F35" s="7" t="s">
        <v>15</v>
      </c>
      <c r="G35" s="5"/>
      <c r="H35" s="35">
        <f>(G35+G36+G37)*16</f>
        <v>0</v>
      </c>
      <c r="I35" s="51">
        <f>H35/48</f>
        <v>0</v>
      </c>
      <c r="J35" s="7" t="s">
        <v>15</v>
      </c>
      <c r="K35" s="5"/>
      <c r="L35" s="35">
        <f>(K35+K36+K37)*16</f>
        <v>0</v>
      </c>
      <c r="M35" s="51">
        <f>L35/48</f>
        <v>0</v>
      </c>
      <c r="N35" s="45"/>
    </row>
    <row r="36" spans="1:14" x14ac:dyDescent="0.25">
      <c r="A36" s="31"/>
      <c r="B36" s="36"/>
      <c r="C36" s="42"/>
      <c r="D36" s="4" t="s">
        <v>17</v>
      </c>
      <c r="E36" s="11"/>
      <c r="F36" s="7" t="s">
        <v>18</v>
      </c>
      <c r="G36" s="5"/>
      <c r="H36" s="36"/>
      <c r="I36" s="52"/>
      <c r="J36" s="7" t="s">
        <v>18</v>
      </c>
      <c r="K36" s="5"/>
      <c r="L36" s="36"/>
      <c r="M36" s="52"/>
      <c r="N36" s="46"/>
    </row>
    <row r="37" spans="1:14" x14ac:dyDescent="0.25">
      <c r="A37" s="31"/>
      <c r="B37" s="37"/>
      <c r="C37" s="43"/>
      <c r="D37" s="4" t="s">
        <v>19</v>
      </c>
      <c r="E37" s="3"/>
      <c r="F37" s="7" t="s">
        <v>20</v>
      </c>
      <c r="G37" s="5"/>
      <c r="H37" s="37"/>
      <c r="I37" s="53"/>
      <c r="J37" s="7" t="s">
        <v>20</v>
      </c>
      <c r="K37" s="5"/>
      <c r="L37" s="37"/>
      <c r="M37" s="53"/>
      <c r="N37" s="47"/>
    </row>
  </sheetData>
  <mergeCells count="78">
    <mergeCell ref="L15:L17"/>
    <mergeCell ref="M15:M17"/>
    <mergeCell ref="L20:L22"/>
    <mergeCell ref="M20:M22"/>
    <mergeCell ref="M30:M32"/>
    <mergeCell ref="L25:L27"/>
    <mergeCell ref="M25:M27"/>
    <mergeCell ref="L30:L32"/>
    <mergeCell ref="H15:H17"/>
    <mergeCell ref="I15:I17"/>
    <mergeCell ref="H20:H22"/>
    <mergeCell ref="I20:I22"/>
    <mergeCell ref="I30:I32"/>
    <mergeCell ref="L5:L7"/>
    <mergeCell ref="M5:M7"/>
    <mergeCell ref="L10:L12"/>
    <mergeCell ref="M10:M12"/>
    <mergeCell ref="F4:G4"/>
    <mergeCell ref="H10:H12"/>
    <mergeCell ref="J4:K4"/>
    <mergeCell ref="I10:I12"/>
    <mergeCell ref="H35:H37"/>
    <mergeCell ref="C24:C27"/>
    <mergeCell ref="F24:G24"/>
    <mergeCell ref="J24:K24"/>
    <mergeCell ref="N25:N27"/>
    <mergeCell ref="J34:K34"/>
    <mergeCell ref="I35:I37"/>
    <mergeCell ref="L35:L37"/>
    <mergeCell ref="M35:M37"/>
    <mergeCell ref="A1:N2"/>
    <mergeCell ref="A4:A7"/>
    <mergeCell ref="A9:A12"/>
    <mergeCell ref="A14:A17"/>
    <mergeCell ref="A19:A22"/>
    <mergeCell ref="B4:B7"/>
    <mergeCell ref="B14:B17"/>
    <mergeCell ref="B19:B22"/>
    <mergeCell ref="C19:C22"/>
    <mergeCell ref="F19:G19"/>
    <mergeCell ref="F14:G14"/>
    <mergeCell ref="J14:K14"/>
    <mergeCell ref="N15:N17"/>
    <mergeCell ref="J19:K19"/>
    <mergeCell ref="N20:N22"/>
    <mergeCell ref="C4:C7"/>
    <mergeCell ref="D3:N3"/>
    <mergeCell ref="C29:C32"/>
    <mergeCell ref="F29:G29"/>
    <mergeCell ref="J29:K29"/>
    <mergeCell ref="N30:N32"/>
    <mergeCell ref="H25:H27"/>
    <mergeCell ref="I25:I27"/>
    <mergeCell ref="H30:H32"/>
    <mergeCell ref="C9:C12"/>
    <mergeCell ref="F9:G9"/>
    <mergeCell ref="J9:K9"/>
    <mergeCell ref="N10:N12"/>
    <mergeCell ref="C14:C17"/>
    <mergeCell ref="N5:N7"/>
    <mergeCell ref="H5:H7"/>
    <mergeCell ref="I5:I7"/>
    <mergeCell ref="A24:A27"/>
    <mergeCell ref="A29:A32"/>
    <mergeCell ref="A34:A37"/>
    <mergeCell ref="A8:N8"/>
    <mergeCell ref="A13:N13"/>
    <mergeCell ref="A18:N18"/>
    <mergeCell ref="A23:N23"/>
    <mergeCell ref="A28:N28"/>
    <mergeCell ref="A33:N33"/>
    <mergeCell ref="B9:B12"/>
    <mergeCell ref="B24:B27"/>
    <mergeCell ref="B29:B32"/>
    <mergeCell ref="B34:B37"/>
    <mergeCell ref="C34:C37"/>
    <mergeCell ref="F34:G34"/>
    <mergeCell ref="N35:N37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13E2D-6580-4A06-AB57-271518370837}">
  <dimension ref="A1:BN53"/>
  <sheetViews>
    <sheetView zoomScale="50" zoomScaleNormal="85" workbookViewId="0">
      <selection activeCell="Q15" sqref="Q15"/>
    </sheetView>
  </sheetViews>
  <sheetFormatPr baseColWidth="10" defaultColWidth="9.140625" defaultRowHeight="15" x14ac:dyDescent="0.25"/>
  <cols>
    <col min="1" max="1" width="11.42578125" customWidth="1"/>
    <col min="2" max="6" width="4.85546875" customWidth="1"/>
    <col min="7" max="7" width="6.7109375" bestFit="1" customWidth="1"/>
    <col min="8" max="8" width="5.140625" customWidth="1"/>
    <col min="9" max="9" width="6" bestFit="1" customWidth="1"/>
    <col min="10" max="10" width="4.28515625" customWidth="1"/>
    <col min="11" max="11" width="5.85546875" bestFit="1" customWidth="1"/>
    <col min="12" max="12" width="4" customWidth="1"/>
    <col min="13" max="13" width="5" bestFit="1" customWidth="1"/>
    <col min="14" max="14" width="4.5703125" customWidth="1"/>
    <col min="15" max="15" width="6.5703125" customWidth="1"/>
    <col min="16" max="16" width="5.28515625" bestFit="1" customWidth="1"/>
    <col min="17" max="17" width="3" bestFit="1" customWidth="1"/>
    <col min="18" max="18" width="5" bestFit="1" customWidth="1"/>
    <col min="19" max="19" width="3" bestFit="1" customWidth="1"/>
    <col min="20" max="20" width="4.140625" bestFit="1" customWidth="1"/>
    <col min="21" max="21" width="3" bestFit="1" customWidth="1"/>
    <col min="22" max="22" width="5" bestFit="1" customWidth="1"/>
    <col min="23" max="23" width="5.5703125" customWidth="1"/>
    <col min="24" max="24" width="8.42578125" customWidth="1"/>
    <col min="25" max="25" width="5.28515625" bestFit="1" customWidth="1"/>
    <col min="26" max="26" width="3" bestFit="1" customWidth="1"/>
    <col min="27" max="27" width="5" bestFit="1" customWidth="1"/>
    <col min="28" max="28" width="3" bestFit="1" customWidth="1"/>
    <col min="29" max="29" width="4.140625" bestFit="1" customWidth="1"/>
    <col min="30" max="30" width="3" bestFit="1" customWidth="1"/>
    <col min="31" max="31" width="4.7109375" customWidth="1"/>
    <col min="32" max="32" width="4.5703125" customWidth="1"/>
    <col min="33" max="33" width="6" customWidth="1"/>
    <col min="34" max="34" width="5.28515625" bestFit="1" customWidth="1"/>
    <col min="35" max="35" width="2.5703125" bestFit="1" customWidth="1"/>
    <col min="36" max="36" width="5" bestFit="1" customWidth="1"/>
    <col min="37" max="37" width="5.28515625" customWidth="1"/>
    <col min="38" max="38" width="4.140625" bestFit="1" customWidth="1"/>
    <col min="39" max="39" width="2.5703125" bestFit="1" customWidth="1"/>
    <col min="40" max="40" width="5" bestFit="1" customWidth="1"/>
    <col min="41" max="41" width="4.42578125" customWidth="1"/>
    <col min="42" max="42" width="11.42578125" customWidth="1"/>
    <col min="43" max="43" width="5.28515625" bestFit="1" customWidth="1"/>
    <col min="44" max="44" width="2.5703125" bestFit="1" customWidth="1"/>
    <col min="45" max="45" width="5" bestFit="1" customWidth="1"/>
    <col min="46" max="46" width="2.5703125" bestFit="1" customWidth="1"/>
    <col min="47" max="47" width="4.140625" bestFit="1" customWidth="1"/>
    <col min="48" max="48" width="2.5703125" bestFit="1" customWidth="1"/>
    <col min="49" max="49" width="5.5703125" customWidth="1"/>
    <col min="50" max="50" width="5.140625" customWidth="1"/>
    <col min="51" max="51" width="6.5703125" customWidth="1"/>
    <col min="52" max="52" width="5.28515625" bestFit="1" customWidth="1"/>
    <col min="53" max="53" width="2.5703125" bestFit="1" customWidth="1"/>
    <col min="54" max="54" width="5" bestFit="1" customWidth="1"/>
    <col min="55" max="55" width="2.5703125" bestFit="1" customWidth="1"/>
    <col min="56" max="56" width="4.140625" bestFit="1" customWidth="1"/>
    <col min="57" max="57" width="2.5703125" bestFit="1" customWidth="1"/>
    <col min="58" max="58" width="4.28515625" bestFit="1" customWidth="1"/>
    <col min="59" max="59" width="6.140625" customWidth="1"/>
    <col min="60" max="60" width="11.42578125" customWidth="1"/>
    <col min="61" max="61" width="10" customWidth="1"/>
    <col min="62" max="62" width="10.28515625" customWidth="1"/>
    <col min="63" max="63" width="9.85546875" customWidth="1"/>
    <col min="64" max="256" width="11.42578125" customWidth="1"/>
  </cols>
  <sheetData>
    <row r="1" spans="1:66" ht="15" customHeight="1" x14ac:dyDescent="0.25">
      <c r="A1" s="65" t="s">
        <v>34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5"/>
      <c r="AL1" s="65"/>
      <c r="AM1" s="65"/>
      <c r="AN1" s="65"/>
      <c r="AO1" s="65"/>
      <c r="AP1" s="65"/>
      <c r="AQ1" s="65"/>
      <c r="AR1" s="65"/>
      <c r="AS1" s="65"/>
      <c r="AT1" s="65"/>
      <c r="AU1" s="65"/>
      <c r="AV1" s="65"/>
      <c r="AW1" s="65"/>
      <c r="AX1" s="65"/>
      <c r="AY1" s="65"/>
      <c r="AZ1" s="65"/>
      <c r="BA1" s="65"/>
      <c r="BB1" s="65"/>
      <c r="BC1" s="65"/>
      <c r="BD1" s="65"/>
      <c r="BE1" s="65"/>
      <c r="BF1" s="65"/>
      <c r="BG1" s="65"/>
      <c r="BH1" s="65"/>
      <c r="BI1" s="65"/>
      <c r="BJ1" s="65"/>
      <c r="BK1" s="65"/>
      <c r="BL1" s="65"/>
      <c r="BM1" s="65"/>
      <c r="BN1" s="65"/>
    </row>
    <row r="2" spans="1:66" ht="15" customHeight="1" x14ac:dyDescent="0.25">
      <c r="A2" s="65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5"/>
      <c r="AT2" s="65"/>
      <c r="AU2" s="65"/>
      <c r="AV2" s="65"/>
      <c r="AW2" s="65"/>
      <c r="AX2" s="65"/>
      <c r="AY2" s="65"/>
      <c r="AZ2" s="65"/>
      <c r="BA2" s="65"/>
      <c r="BB2" s="65"/>
      <c r="BC2" s="65"/>
      <c r="BD2" s="65"/>
      <c r="BE2" s="65"/>
      <c r="BF2" s="65"/>
      <c r="BG2" s="65"/>
      <c r="BH2" s="65"/>
      <c r="BI2" s="65"/>
      <c r="BJ2" s="65"/>
      <c r="BK2" s="65"/>
      <c r="BL2" s="65"/>
      <c r="BM2" s="65"/>
      <c r="BN2" s="65"/>
    </row>
    <row r="3" spans="1:66" ht="15" customHeight="1" x14ac:dyDescent="0.25">
      <c r="A3" s="65"/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5"/>
      <c r="AQ3" s="65"/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5"/>
      <c r="BF3" s="65"/>
      <c r="BG3" s="65"/>
      <c r="BH3" s="65"/>
      <c r="BI3" s="65"/>
      <c r="BJ3" s="65"/>
      <c r="BK3" s="65"/>
      <c r="BL3" s="65"/>
      <c r="BM3" s="65"/>
      <c r="BN3" s="65"/>
    </row>
    <row r="5" spans="1:66" x14ac:dyDescent="0.25"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Y5" s="1"/>
      <c r="Z5" s="1"/>
      <c r="AA5" s="1"/>
      <c r="AB5" s="1"/>
      <c r="AC5" s="1"/>
      <c r="AD5" s="1"/>
      <c r="AE5" s="1"/>
      <c r="AH5" s="1"/>
      <c r="AI5" s="1"/>
      <c r="AJ5" s="1"/>
      <c r="AK5" s="1"/>
      <c r="AL5" s="1"/>
      <c r="AM5" s="1"/>
      <c r="AN5" s="1"/>
      <c r="AQ5" s="1"/>
      <c r="AR5" s="1"/>
      <c r="AS5" s="1"/>
      <c r="AT5" s="1"/>
      <c r="AU5" s="1"/>
      <c r="AV5" s="1"/>
      <c r="AW5" s="1"/>
      <c r="AZ5" s="1"/>
      <c r="BA5" s="1"/>
      <c r="BB5" s="1"/>
      <c r="BC5" s="1"/>
      <c r="BD5" s="1"/>
      <c r="BE5" s="1"/>
    </row>
    <row r="6" spans="1:66" ht="15" customHeight="1" x14ac:dyDescent="0.25">
      <c r="A6" s="62" t="s">
        <v>35</v>
      </c>
      <c r="B6" s="58" t="s">
        <v>36</v>
      </c>
      <c r="C6" s="59"/>
      <c r="D6" s="59"/>
      <c r="E6" s="60"/>
      <c r="G6" s="56" t="s">
        <v>37</v>
      </c>
      <c r="H6" s="56"/>
      <c r="I6" s="56"/>
      <c r="J6" s="56"/>
      <c r="K6" s="56"/>
      <c r="L6" s="56"/>
      <c r="M6" s="1"/>
      <c r="P6" s="56" t="s">
        <v>37</v>
      </c>
      <c r="Q6" s="56"/>
      <c r="R6" s="56"/>
      <c r="S6" s="56"/>
      <c r="T6" s="56"/>
      <c r="U6" s="56"/>
      <c r="Y6" s="56" t="s">
        <v>37</v>
      </c>
      <c r="Z6" s="56"/>
      <c r="AA6" s="56"/>
      <c r="AB6" s="56"/>
      <c r="AC6" s="56"/>
      <c r="AD6" s="56"/>
      <c r="AE6" s="1"/>
      <c r="AH6" s="56" t="s">
        <v>37</v>
      </c>
      <c r="AI6" s="56"/>
      <c r="AJ6" s="56"/>
      <c r="AK6" s="56"/>
      <c r="AL6" s="56"/>
      <c r="AM6" s="56"/>
      <c r="AN6" s="1"/>
      <c r="AQ6" s="56" t="s">
        <v>37</v>
      </c>
      <c r="AR6" s="56"/>
      <c r="AS6" s="56"/>
      <c r="AT6" s="56"/>
      <c r="AU6" s="56"/>
      <c r="AV6" s="56"/>
      <c r="AW6" s="1"/>
      <c r="AZ6" s="56" t="s">
        <v>37</v>
      </c>
      <c r="BA6" s="56"/>
      <c r="BB6" s="56"/>
      <c r="BC6" s="56"/>
      <c r="BD6" s="56"/>
      <c r="BE6" s="56"/>
    </row>
    <row r="7" spans="1:66" x14ac:dyDescent="0.25">
      <c r="A7" s="63"/>
      <c r="B7" s="23"/>
      <c r="C7" s="23"/>
      <c r="D7" s="23"/>
      <c r="E7" s="23"/>
      <c r="G7" s="3" t="s">
        <v>38</v>
      </c>
      <c r="H7" s="6">
        <v>3</v>
      </c>
      <c r="I7" s="3" t="s">
        <v>39</v>
      </c>
      <c r="J7" s="6">
        <v>2</v>
      </c>
      <c r="K7" s="3" t="s">
        <v>40</v>
      </c>
      <c r="L7" s="6">
        <v>4</v>
      </c>
      <c r="M7" s="2" t="s">
        <v>41</v>
      </c>
      <c r="N7">
        <f>(H7+J7+L7)/3</f>
        <v>3</v>
      </c>
      <c r="P7" s="6" t="s">
        <v>38</v>
      </c>
      <c r="Q7" s="6">
        <v>3</v>
      </c>
      <c r="R7" s="6" t="s">
        <v>39</v>
      </c>
      <c r="S7" s="6">
        <v>2</v>
      </c>
      <c r="T7" s="6" t="s">
        <v>40</v>
      </c>
      <c r="U7" s="6">
        <v>4</v>
      </c>
      <c r="V7" s="2" t="s">
        <v>41</v>
      </c>
      <c r="W7">
        <f>(Q7+S7+U7)/3</f>
        <v>3</v>
      </c>
      <c r="Y7" s="6" t="s">
        <v>38</v>
      </c>
      <c r="Z7" s="6">
        <v>3</v>
      </c>
      <c r="AA7" s="6" t="s">
        <v>39</v>
      </c>
      <c r="AB7" s="6">
        <v>0</v>
      </c>
      <c r="AC7" s="6" t="s">
        <v>40</v>
      </c>
      <c r="AD7" s="6">
        <v>6</v>
      </c>
      <c r="AE7" s="2" t="s">
        <v>41</v>
      </c>
      <c r="AF7">
        <f>(Z7+AB7+AD7)/3</f>
        <v>3</v>
      </c>
      <c r="AH7" s="6" t="s">
        <v>38</v>
      </c>
      <c r="AI7" s="6">
        <v>3</v>
      </c>
      <c r="AJ7" s="6" t="s">
        <v>39</v>
      </c>
      <c r="AK7" s="6">
        <v>1</v>
      </c>
      <c r="AL7" s="6" t="s">
        <v>40</v>
      </c>
      <c r="AM7" s="6">
        <v>5</v>
      </c>
      <c r="AN7" s="2" t="s">
        <v>41</v>
      </c>
      <c r="AO7">
        <f>(AI7+AK7+AM7)/3</f>
        <v>3</v>
      </c>
      <c r="AQ7" s="6" t="s">
        <v>38</v>
      </c>
      <c r="AR7" s="6">
        <v>1</v>
      </c>
      <c r="AS7" s="6" t="s">
        <v>39</v>
      </c>
      <c r="AT7" s="6">
        <v>1</v>
      </c>
      <c r="AU7" s="6" t="s">
        <v>40</v>
      </c>
      <c r="AV7" s="6">
        <v>1</v>
      </c>
      <c r="AW7" s="2" t="s">
        <v>41</v>
      </c>
      <c r="AX7">
        <f>(AR7+AT7+AV7)/3</f>
        <v>1</v>
      </c>
      <c r="AZ7" s="6" t="s">
        <v>38</v>
      </c>
      <c r="BA7" s="6">
        <v>2</v>
      </c>
      <c r="BB7" s="6" t="s">
        <v>39</v>
      </c>
      <c r="BC7" s="6">
        <v>2</v>
      </c>
      <c r="BD7" s="6" t="s">
        <v>40</v>
      </c>
      <c r="BE7" s="6">
        <v>2</v>
      </c>
      <c r="BF7" s="2" t="s">
        <v>41</v>
      </c>
      <c r="BG7">
        <f>(BA7+BC7+BE7)/3</f>
        <v>2</v>
      </c>
      <c r="BI7" s="6" t="s">
        <v>38</v>
      </c>
      <c r="BJ7" s="6">
        <f>H7+Q7+Z7+AI7+AR7+BA7</f>
        <v>15</v>
      </c>
      <c r="BK7" s="6" t="s">
        <v>39</v>
      </c>
      <c r="BL7" s="6">
        <f>J7+S7+AB7+AK7+AT7+BC7</f>
        <v>8</v>
      </c>
      <c r="BM7" s="6" t="s">
        <v>40</v>
      </c>
      <c r="BN7" s="6">
        <f>L7+U7+AD7+AM7+AV7+BE7</f>
        <v>22</v>
      </c>
    </row>
    <row r="8" spans="1:66" x14ac:dyDescent="0.25">
      <c r="A8" s="63"/>
      <c r="BI8" s="57" t="s">
        <v>42</v>
      </c>
      <c r="BJ8" s="57"/>
      <c r="BK8" s="57"/>
      <c r="BL8" s="57"/>
      <c r="BM8" s="57"/>
      <c r="BN8" s="3">
        <f>(BJ7+BL7+BN7)*16</f>
        <v>720</v>
      </c>
    </row>
    <row r="9" spans="1:66" x14ac:dyDescent="0.25">
      <c r="A9" s="63"/>
      <c r="BI9" s="58" t="s">
        <v>43</v>
      </c>
      <c r="BJ9" s="59"/>
      <c r="BK9" s="59"/>
      <c r="BL9" s="59"/>
      <c r="BM9" s="60"/>
      <c r="BN9" s="3">
        <f>BN8/48</f>
        <v>15</v>
      </c>
    </row>
    <row r="10" spans="1:66" ht="15" customHeight="1" x14ac:dyDescent="0.25">
      <c r="A10" s="63"/>
      <c r="B10" s="58" t="s">
        <v>44</v>
      </c>
      <c r="C10" s="59"/>
      <c r="D10" s="59"/>
      <c r="E10" s="60"/>
      <c r="G10" s="56" t="s">
        <v>37</v>
      </c>
      <c r="H10" s="56"/>
      <c r="I10" s="56"/>
      <c r="J10" s="56"/>
      <c r="K10" s="56"/>
      <c r="L10" s="56"/>
      <c r="M10" s="1"/>
      <c r="P10" s="56" t="s">
        <v>37</v>
      </c>
      <c r="Q10" s="56"/>
      <c r="R10" s="56"/>
      <c r="S10" s="56"/>
      <c r="T10" s="56"/>
      <c r="U10" s="56"/>
      <c r="Y10" s="56" t="s">
        <v>37</v>
      </c>
      <c r="Z10" s="56"/>
      <c r="AA10" s="56"/>
      <c r="AB10" s="56"/>
      <c r="AC10" s="56"/>
      <c r="AD10" s="56"/>
      <c r="AE10" s="1"/>
      <c r="AH10" s="56" t="s">
        <v>37</v>
      </c>
      <c r="AI10" s="56"/>
      <c r="AJ10" s="56"/>
      <c r="AK10" s="56"/>
      <c r="AL10" s="56"/>
      <c r="AM10" s="56"/>
      <c r="AN10" s="1"/>
      <c r="AQ10" s="56" t="s">
        <v>37</v>
      </c>
      <c r="AR10" s="56"/>
      <c r="AS10" s="56"/>
      <c r="AT10" s="56"/>
      <c r="AU10" s="56"/>
      <c r="AV10" s="56"/>
      <c r="AW10" s="1"/>
      <c r="AZ10" s="56" t="s">
        <v>37</v>
      </c>
      <c r="BA10" s="56"/>
      <c r="BB10" s="56"/>
      <c r="BC10" s="56"/>
      <c r="BD10" s="56"/>
      <c r="BE10" s="56"/>
    </row>
    <row r="11" spans="1:66" x14ac:dyDescent="0.25">
      <c r="A11" s="63"/>
      <c r="B11" s="23"/>
      <c r="C11" s="23"/>
      <c r="D11" s="23"/>
      <c r="E11" s="23"/>
      <c r="G11" s="3" t="s">
        <v>38</v>
      </c>
      <c r="H11" s="6"/>
      <c r="I11" s="3" t="s">
        <v>39</v>
      </c>
      <c r="J11" s="6"/>
      <c r="K11" s="3" t="s">
        <v>40</v>
      </c>
      <c r="L11" s="6"/>
      <c r="M11" s="2" t="s">
        <v>41</v>
      </c>
      <c r="N11">
        <f>(H11+J11+L11)/3</f>
        <v>0</v>
      </c>
      <c r="P11" s="6" t="s">
        <v>38</v>
      </c>
      <c r="Q11" s="6"/>
      <c r="R11" s="6" t="s">
        <v>39</v>
      </c>
      <c r="S11" s="6"/>
      <c r="T11" s="6" t="s">
        <v>40</v>
      </c>
      <c r="U11" s="6"/>
      <c r="V11" s="2" t="s">
        <v>41</v>
      </c>
      <c r="W11">
        <f>(Q11+S11+U11)/3</f>
        <v>0</v>
      </c>
      <c r="Y11" s="6" t="s">
        <v>38</v>
      </c>
      <c r="Z11" s="6"/>
      <c r="AA11" s="6" t="s">
        <v>39</v>
      </c>
      <c r="AB11" s="6"/>
      <c r="AC11" s="6" t="s">
        <v>40</v>
      </c>
      <c r="AD11" s="6"/>
      <c r="AE11" s="2" t="s">
        <v>41</v>
      </c>
      <c r="AF11">
        <f>(Z11+AB11+AD11)/3</f>
        <v>0</v>
      </c>
      <c r="AH11" s="6" t="s">
        <v>38</v>
      </c>
      <c r="AI11" s="6"/>
      <c r="AJ11" s="6" t="s">
        <v>39</v>
      </c>
      <c r="AK11" s="6"/>
      <c r="AL11" s="6" t="s">
        <v>40</v>
      </c>
      <c r="AM11" s="6"/>
      <c r="AN11" s="2" t="s">
        <v>41</v>
      </c>
      <c r="AO11">
        <f>(AI11+AK11+AM11)/3</f>
        <v>0</v>
      </c>
      <c r="AQ11" s="6" t="s">
        <v>38</v>
      </c>
      <c r="AR11" s="6"/>
      <c r="AS11" s="6" t="s">
        <v>39</v>
      </c>
      <c r="AT11" s="6"/>
      <c r="AU11" s="6" t="s">
        <v>40</v>
      </c>
      <c r="AV11" s="6"/>
      <c r="AW11" s="2" t="s">
        <v>41</v>
      </c>
      <c r="AX11">
        <f>(AR11+AT11+AV11)/3</f>
        <v>0</v>
      </c>
      <c r="AZ11" s="6" t="s">
        <v>38</v>
      </c>
      <c r="BA11" s="6"/>
      <c r="BB11" s="6" t="s">
        <v>39</v>
      </c>
      <c r="BC11" s="6"/>
      <c r="BD11" s="6" t="s">
        <v>40</v>
      </c>
      <c r="BE11" s="6"/>
      <c r="BF11" s="2" t="s">
        <v>41</v>
      </c>
      <c r="BG11">
        <f>(BA11+BC11+BE11)/3</f>
        <v>0</v>
      </c>
      <c r="BI11" s="6" t="s">
        <v>38</v>
      </c>
      <c r="BJ11" s="6">
        <f>H11+Q11+Z11+AI11+AR11+BA11</f>
        <v>0</v>
      </c>
      <c r="BK11" s="6" t="s">
        <v>39</v>
      </c>
      <c r="BL11" s="6">
        <f>J11+S11+AB11+AK11+AT11+BC11</f>
        <v>0</v>
      </c>
      <c r="BM11" s="6" t="s">
        <v>40</v>
      </c>
      <c r="BN11" s="6">
        <f>L11+U11+AD11+AM11+AV11+BE11</f>
        <v>0</v>
      </c>
    </row>
    <row r="12" spans="1:66" x14ac:dyDescent="0.25">
      <c r="A12" s="63"/>
      <c r="BI12" s="57" t="s">
        <v>42</v>
      </c>
      <c r="BJ12" s="57"/>
      <c r="BK12" s="57"/>
      <c r="BL12" s="57"/>
      <c r="BM12" s="57"/>
      <c r="BN12" s="3">
        <f>(BJ11+BL11+BN11)*16</f>
        <v>0</v>
      </c>
    </row>
    <row r="13" spans="1:66" x14ac:dyDescent="0.25">
      <c r="A13" s="64"/>
      <c r="BI13" s="58" t="s">
        <v>43</v>
      </c>
      <c r="BJ13" s="59"/>
      <c r="BK13" s="59"/>
      <c r="BL13" s="59"/>
      <c r="BM13" s="60"/>
      <c r="BN13" s="3">
        <f>BN12/48</f>
        <v>0</v>
      </c>
    </row>
    <row r="14" spans="1:66" ht="15" customHeight="1" x14ac:dyDescent="0.25">
      <c r="A14" s="62" t="s">
        <v>45</v>
      </c>
      <c r="B14" s="58" t="s">
        <v>46</v>
      </c>
      <c r="C14" s="59"/>
      <c r="D14" s="59"/>
      <c r="E14" s="60"/>
      <c r="G14" s="56" t="s">
        <v>37</v>
      </c>
      <c r="H14" s="56"/>
      <c r="I14" s="56"/>
      <c r="J14" s="56"/>
      <c r="K14" s="56"/>
      <c r="L14" s="56"/>
      <c r="M14" s="1"/>
      <c r="P14" s="56" t="s">
        <v>37</v>
      </c>
      <c r="Q14" s="56"/>
      <c r="R14" s="56"/>
      <c r="S14" s="56"/>
      <c r="T14" s="56"/>
      <c r="U14" s="56"/>
      <c r="Y14" s="56" t="s">
        <v>37</v>
      </c>
      <c r="Z14" s="56"/>
      <c r="AA14" s="56"/>
      <c r="AB14" s="56"/>
      <c r="AC14" s="56"/>
      <c r="AD14" s="56"/>
      <c r="AE14" s="1"/>
      <c r="AH14" s="56"/>
      <c r="AI14" s="56"/>
      <c r="AJ14" s="56"/>
      <c r="AK14" s="56"/>
      <c r="AL14" s="56"/>
      <c r="AM14" s="56"/>
      <c r="AN14" s="1"/>
      <c r="AQ14" s="56" t="s">
        <v>37</v>
      </c>
      <c r="AR14" s="56"/>
      <c r="AS14" s="56"/>
      <c r="AT14" s="56"/>
      <c r="AU14" s="56"/>
      <c r="AV14" s="56"/>
      <c r="AW14" s="1"/>
      <c r="AZ14" s="56" t="s">
        <v>37</v>
      </c>
      <c r="BA14" s="56"/>
      <c r="BB14" s="56"/>
      <c r="BC14" s="56"/>
      <c r="BD14" s="56"/>
      <c r="BE14" s="56"/>
    </row>
    <row r="15" spans="1:66" x14ac:dyDescent="0.25">
      <c r="A15" s="63"/>
      <c r="B15" s="23"/>
      <c r="C15" s="23"/>
      <c r="D15" s="23"/>
      <c r="E15" s="23"/>
      <c r="G15" s="3" t="s">
        <v>38</v>
      </c>
      <c r="H15" s="6"/>
      <c r="I15" s="3" t="s">
        <v>39</v>
      </c>
      <c r="J15" s="6"/>
      <c r="K15" s="3" t="s">
        <v>40</v>
      </c>
      <c r="L15" s="6"/>
      <c r="M15" s="2" t="s">
        <v>41</v>
      </c>
      <c r="N15">
        <f>(H15+J15+L15)/3</f>
        <v>0</v>
      </c>
      <c r="P15" s="6" t="s">
        <v>38</v>
      </c>
      <c r="Q15" s="6"/>
      <c r="R15" s="6" t="s">
        <v>39</v>
      </c>
      <c r="S15" s="6"/>
      <c r="T15" s="6" t="s">
        <v>40</v>
      </c>
      <c r="U15" s="6"/>
      <c r="V15" s="2" t="s">
        <v>41</v>
      </c>
      <c r="W15">
        <f>(Q15+S15+U15)/3</f>
        <v>0</v>
      </c>
      <c r="Y15" s="6" t="s">
        <v>38</v>
      </c>
      <c r="Z15" s="6"/>
      <c r="AA15" s="6" t="s">
        <v>39</v>
      </c>
      <c r="AB15" s="6"/>
      <c r="AC15" s="6" t="s">
        <v>40</v>
      </c>
      <c r="AD15" s="6"/>
      <c r="AE15" s="2" t="s">
        <v>41</v>
      </c>
      <c r="AF15">
        <f>(Z15+AB15+AD15)/3</f>
        <v>0</v>
      </c>
      <c r="AH15" s="6" t="s">
        <v>38</v>
      </c>
      <c r="AI15" s="6"/>
      <c r="AJ15" s="6" t="s">
        <v>39</v>
      </c>
      <c r="AK15" s="6"/>
      <c r="AL15" s="6" t="s">
        <v>40</v>
      </c>
      <c r="AM15" s="6"/>
      <c r="AN15" s="2" t="s">
        <v>41</v>
      </c>
      <c r="AO15">
        <f>(AI15+AK15+AM15)/3</f>
        <v>0</v>
      </c>
      <c r="AQ15" s="6" t="s">
        <v>38</v>
      </c>
      <c r="AR15" s="6"/>
      <c r="AS15" s="6" t="s">
        <v>39</v>
      </c>
      <c r="AT15" s="6"/>
      <c r="AU15" s="6" t="s">
        <v>40</v>
      </c>
      <c r="AV15" s="6"/>
      <c r="AW15" s="2" t="s">
        <v>41</v>
      </c>
      <c r="AX15">
        <f>(AR15+AT15+AV15)/3</f>
        <v>0</v>
      </c>
      <c r="AZ15" s="6" t="s">
        <v>38</v>
      </c>
      <c r="BA15" s="6"/>
      <c r="BB15" s="6" t="s">
        <v>39</v>
      </c>
      <c r="BC15" s="6"/>
      <c r="BD15" s="6" t="s">
        <v>40</v>
      </c>
      <c r="BE15" s="6"/>
      <c r="BF15" s="2" t="s">
        <v>41</v>
      </c>
      <c r="BG15">
        <f>(BA15+BC15+BE15)/3</f>
        <v>0</v>
      </c>
      <c r="BI15" s="6" t="s">
        <v>38</v>
      </c>
      <c r="BJ15" s="6">
        <f>H15+Q15+Z15+AI15+AR15+BA15</f>
        <v>0</v>
      </c>
      <c r="BK15" s="6" t="s">
        <v>39</v>
      </c>
      <c r="BL15" s="6">
        <f>J15+S15+AB15+AK15+AT15+BC15</f>
        <v>0</v>
      </c>
      <c r="BM15" s="6" t="s">
        <v>40</v>
      </c>
      <c r="BN15" s="6">
        <f>L15+U15+AD15+AM15+AV15+BE15</f>
        <v>0</v>
      </c>
    </row>
    <row r="16" spans="1:66" x14ac:dyDescent="0.25">
      <c r="A16" s="63"/>
      <c r="BI16" s="57" t="s">
        <v>42</v>
      </c>
      <c r="BJ16" s="57"/>
      <c r="BK16" s="57"/>
      <c r="BL16" s="57"/>
      <c r="BM16" s="57"/>
      <c r="BN16" s="3">
        <f>BJ15+BL15+BN15</f>
        <v>0</v>
      </c>
    </row>
    <row r="17" spans="1:66" x14ac:dyDescent="0.25">
      <c r="A17" s="63"/>
      <c r="BI17" s="58" t="s">
        <v>43</v>
      </c>
      <c r="BJ17" s="59"/>
      <c r="BK17" s="59"/>
      <c r="BL17" s="59"/>
      <c r="BM17" s="60"/>
      <c r="BN17" s="3">
        <f>BN16/48</f>
        <v>0</v>
      </c>
    </row>
    <row r="18" spans="1:66" ht="15" customHeight="1" x14ac:dyDescent="0.25">
      <c r="A18" s="63"/>
      <c r="B18" s="58" t="s">
        <v>47</v>
      </c>
      <c r="C18" s="59"/>
      <c r="D18" s="59"/>
      <c r="E18" s="60"/>
      <c r="G18" s="56" t="s">
        <v>37</v>
      </c>
      <c r="H18" s="56"/>
      <c r="I18" s="56"/>
      <c r="J18" s="56"/>
      <c r="K18" s="56"/>
      <c r="L18" s="56"/>
      <c r="M18" s="1"/>
      <c r="P18" s="56" t="s">
        <v>37</v>
      </c>
      <c r="Q18" s="56"/>
      <c r="R18" s="56"/>
      <c r="S18" s="56"/>
      <c r="T18" s="56"/>
      <c r="U18" s="56"/>
      <c r="Y18" s="56" t="s">
        <v>37</v>
      </c>
      <c r="Z18" s="56"/>
      <c r="AA18" s="56"/>
      <c r="AB18" s="56"/>
      <c r="AC18" s="56"/>
      <c r="AD18" s="56"/>
      <c r="AE18" s="1"/>
      <c r="AH18" s="56"/>
      <c r="AI18" s="56"/>
      <c r="AJ18" s="56"/>
      <c r="AK18" s="56"/>
      <c r="AL18" s="56"/>
      <c r="AM18" s="56"/>
      <c r="AN18" s="1"/>
      <c r="AQ18" s="56" t="s">
        <v>37</v>
      </c>
      <c r="AR18" s="56"/>
      <c r="AS18" s="56"/>
      <c r="AT18" s="56"/>
      <c r="AU18" s="56"/>
      <c r="AV18" s="56"/>
      <c r="AW18" s="1"/>
      <c r="AZ18" s="56" t="s">
        <v>37</v>
      </c>
      <c r="BA18" s="56"/>
      <c r="BB18" s="56"/>
      <c r="BC18" s="56"/>
      <c r="BD18" s="56"/>
      <c r="BE18" s="56"/>
    </row>
    <row r="19" spans="1:66" x14ac:dyDescent="0.25">
      <c r="A19" s="63"/>
      <c r="B19" s="23"/>
      <c r="C19" s="23"/>
      <c r="D19" s="23"/>
      <c r="E19" s="23"/>
      <c r="G19" s="3" t="s">
        <v>38</v>
      </c>
      <c r="H19" s="6"/>
      <c r="I19" s="3" t="s">
        <v>39</v>
      </c>
      <c r="J19" s="6"/>
      <c r="K19" s="3" t="s">
        <v>40</v>
      </c>
      <c r="L19" s="6"/>
      <c r="M19" s="2" t="s">
        <v>41</v>
      </c>
      <c r="N19">
        <f>(H19+J19+L19)/3</f>
        <v>0</v>
      </c>
      <c r="P19" s="6" t="s">
        <v>38</v>
      </c>
      <c r="Q19" s="6"/>
      <c r="R19" s="6" t="s">
        <v>39</v>
      </c>
      <c r="S19" s="6"/>
      <c r="T19" s="6" t="s">
        <v>40</v>
      </c>
      <c r="U19" s="6"/>
      <c r="V19" s="2" t="s">
        <v>41</v>
      </c>
      <c r="W19">
        <f>(Q19+S19+U19)/3</f>
        <v>0</v>
      </c>
      <c r="Y19" s="6" t="s">
        <v>38</v>
      </c>
      <c r="Z19" s="6"/>
      <c r="AA19" s="6" t="s">
        <v>39</v>
      </c>
      <c r="AB19" s="6"/>
      <c r="AC19" s="6" t="s">
        <v>40</v>
      </c>
      <c r="AD19" s="6"/>
      <c r="AE19" s="2" t="s">
        <v>41</v>
      </c>
      <c r="AF19">
        <f>(Z19+AB19+AD19)/3</f>
        <v>0</v>
      </c>
      <c r="AH19" s="6" t="s">
        <v>38</v>
      </c>
      <c r="AI19" s="6"/>
      <c r="AJ19" s="6" t="s">
        <v>39</v>
      </c>
      <c r="AK19" s="6"/>
      <c r="AL19" s="6" t="s">
        <v>40</v>
      </c>
      <c r="AM19" s="6"/>
      <c r="AN19" s="2" t="s">
        <v>41</v>
      </c>
      <c r="AO19">
        <f>(AI19+AK19+AM19)/3</f>
        <v>0</v>
      </c>
      <c r="AQ19" s="6" t="s">
        <v>38</v>
      </c>
      <c r="AR19" s="6"/>
      <c r="AS19" s="6" t="s">
        <v>39</v>
      </c>
      <c r="AT19" s="6"/>
      <c r="AU19" s="6" t="s">
        <v>40</v>
      </c>
      <c r="AV19" s="6"/>
      <c r="AW19" s="2" t="s">
        <v>41</v>
      </c>
      <c r="AX19">
        <f>(AR19+AT19+AV19)/3</f>
        <v>0</v>
      </c>
      <c r="AZ19" s="6" t="s">
        <v>38</v>
      </c>
      <c r="BA19" s="6"/>
      <c r="BB19" s="6" t="s">
        <v>39</v>
      </c>
      <c r="BC19" s="6"/>
      <c r="BD19" s="6" t="s">
        <v>40</v>
      </c>
      <c r="BE19" s="6"/>
      <c r="BF19" s="2" t="s">
        <v>41</v>
      </c>
      <c r="BG19">
        <f>(BA19+BC19+BE19)/3</f>
        <v>0</v>
      </c>
      <c r="BI19" s="6" t="s">
        <v>38</v>
      </c>
      <c r="BJ19" s="6">
        <f>H19+Q19+Z19+AI19+AR19+BA19</f>
        <v>0</v>
      </c>
      <c r="BK19" s="6" t="s">
        <v>39</v>
      </c>
      <c r="BL19" s="6">
        <f>J19+S19+AB19+AK19+AT19+BC19</f>
        <v>0</v>
      </c>
      <c r="BM19" s="6" t="s">
        <v>40</v>
      </c>
      <c r="BN19" s="6">
        <f>L19+U19+AD19+AM19+AV19+BE19</f>
        <v>0</v>
      </c>
    </row>
    <row r="20" spans="1:66" x14ac:dyDescent="0.25">
      <c r="A20" s="63"/>
      <c r="BI20" s="57" t="s">
        <v>42</v>
      </c>
      <c r="BJ20" s="57"/>
      <c r="BK20" s="57"/>
      <c r="BL20" s="57"/>
      <c r="BM20" s="57"/>
      <c r="BN20" s="3">
        <f>BJ19+BL19+BN19</f>
        <v>0</v>
      </c>
    </row>
    <row r="21" spans="1:66" x14ac:dyDescent="0.25">
      <c r="A21" s="64"/>
      <c r="BI21" s="58" t="s">
        <v>43</v>
      </c>
      <c r="BJ21" s="59"/>
      <c r="BK21" s="59"/>
      <c r="BL21" s="59"/>
      <c r="BM21" s="60"/>
      <c r="BN21" s="3">
        <f>BN20/48</f>
        <v>0</v>
      </c>
    </row>
    <row r="22" spans="1:66" ht="15" customHeight="1" x14ac:dyDescent="0.25">
      <c r="A22" s="62" t="s">
        <v>48</v>
      </c>
      <c r="B22" s="58" t="s">
        <v>49</v>
      </c>
      <c r="C22" s="59"/>
      <c r="D22" s="59"/>
      <c r="E22" s="60"/>
      <c r="G22" s="56" t="s">
        <v>37</v>
      </c>
      <c r="H22" s="56"/>
      <c r="I22" s="56"/>
      <c r="J22" s="56"/>
      <c r="K22" s="56"/>
      <c r="L22" s="56"/>
      <c r="M22" s="1"/>
      <c r="P22" s="56" t="s">
        <v>37</v>
      </c>
      <c r="Q22" s="56"/>
      <c r="R22" s="56"/>
      <c r="S22" s="56"/>
      <c r="T22" s="56"/>
      <c r="U22" s="56"/>
      <c r="Y22" s="56" t="s">
        <v>37</v>
      </c>
      <c r="Z22" s="56"/>
      <c r="AA22" s="56"/>
      <c r="AB22" s="56"/>
      <c r="AC22" s="56"/>
      <c r="AD22" s="56"/>
      <c r="AE22" s="1"/>
      <c r="AH22" s="56"/>
      <c r="AI22" s="56"/>
      <c r="AJ22" s="56"/>
      <c r="AK22" s="56"/>
      <c r="AL22" s="56"/>
      <c r="AM22" s="56"/>
      <c r="AN22" s="1"/>
      <c r="AQ22" s="56" t="s">
        <v>37</v>
      </c>
      <c r="AR22" s="56"/>
      <c r="AS22" s="56"/>
      <c r="AT22" s="56"/>
      <c r="AU22" s="56"/>
      <c r="AV22" s="56"/>
      <c r="AW22" s="1"/>
      <c r="AZ22" s="56" t="s">
        <v>37</v>
      </c>
      <c r="BA22" s="56"/>
      <c r="BB22" s="56"/>
      <c r="BC22" s="56"/>
      <c r="BD22" s="56"/>
      <c r="BE22" s="56"/>
    </row>
    <row r="23" spans="1:66" x14ac:dyDescent="0.25">
      <c r="A23" s="63"/>
      <c r="B23" s="23"/>
      <c r="C23" s="23"/>
      <c r="D23" s="23"/>
      <c r="E23" s="23"/>
      <c r="G23" s="3" t="s">
        <v>38</v>
      </c>
      <c r="H23" s="6"/>
      <c r="I23" s="3" t="s">
        <v>39</v>
      </c>
      <c r="J23" s="6"/>
      <c r="K23" s="3" t="s">
        <v>40</v>
      </c>
      <c r="L23" s="6"/>
      <c r="M23" s="2" t="s">
        <v>41</v>
      </c>
      <c r="N23">
        <f>(H23+J23+L23)/3</f>
        <v>0</v>
      </c>
      <c r="P23" s="6" t="s">
        <v>38</v>
      </c>
      <c r="Q23" s="6"/>
      <c r="R23" s="6" t="s">
        <v>39</v>
      </c>
      <c r="S23" s="6"/>
      <c r="T23" s="6" t="s">
        <v>40</v>
      </c>
      <c r="U23" s="6"/>
      <c r="V23" s="2" t="s">
        <v>41</v>
      </c>
      <c r="W23">
        <f>(Q23+S23+U23)/3</f>
        <v>0</v>
      </c>
      <c r="Y23" s="6" t="s">
        <v>38</v>
      </c>
      <c r="Z23" s="6"/>
      <c r="AA23" s="6" t="s">
        <v>39</v>
      </c>
      <c r="AB23" s="6"/>
      <c r="AC23" s="6" t="s">
        <v>40</v>
      </c>
      <c r="AD23" s="6"/>
      <c r="AE23" s="2" t="s">
        <v>41</v>
      </c>
      <c r="AF23">
        <f>(Z23+AB23+AD23)/3</f>
        <v>0</v>
      </c>
      <c r="AH23" s="6" t="s">
        <v>38</v>
      </c>
      <c r="AI23" s="6"/>
      <c r="AJ23" s="6" t="s">
        <v>39</v>
      </c>
      <c r="AK23" s="6"/>
      <c r="AL23" s="6" t="s">
        <v>40</v>
      </c>
      <c r="AM23" s="6"/>
      <c r="AN23" s="2" t="s">
        <v>41</v>
      </c>
      <c r="AO23">
        <f>(AI23+AK23+AM23)/3</f>
        <v>0</v>
      </c>
      <c r="AQ23" s="6" t="s">
        <v>38</v>
      </c>
      <c r="AR23" s="6"/>
      <c r="AS23" s="6" t="s">
        <v>39</v>
      </c>
      <c r="AT23" s="6"/>
      <c r="AU23" s="6" t="s">
        <v>40</v>
      </c>
      <c r="AV23" s="6"/>
      <c r="AW23" s="2" t="s">
        <v>41</v>
      </c>
      <c r="AX23">
        <f>(AR23+AT23+AV23)/3</f>
        <v>0</v>
      </c>
      <c r="AZ23" s="6" t="s">
        <v>38</v>
      </c>
      <c r="BA23" s="6"/>
      <c r="BB23" s="6" t="s">
        <v>39</v>
      </c>
      <c r="BC23" s="6"/>
      <c r="BD23" s="6" t="s">
        <v>40</v>
      </c>
      <c r="BE23" s="6"/>
      <c r="BF23" s="2" t="s">
        <v>41</v>
      </c>
      <c r="BG23">
        <f>(BA23+BC23+BE23)/3</f>
        <v>0</v>
      </c>
      <c r="BI23" s="6" t="s">
        <v>38</v>
      </c>
      <c r="BJ23" s="6">
        <f>H23+Q23+Z23+AI23+AR23+BA23</f>
        <v>0</v>
      </c>
      <c r="BK23" s="6" t="s">
        <v>39</v>
      </c>
      <c r="BL23" s="6">
        <f>J23+S23+AB23+AK23+AT23+BC23</f>
        <v>0</v>
      </c>
      <c r="BM23" s="6" t="s">
        <v>40</v>
      </c>
      <c r="BN23" s="6">
        <f>L23+U23+AD23+AM23+AV23+BE23</f>
        <v>0</v>
      </c>
    </row>
    <row r="24" spans="1:66" x14ac:dyDescent="0.25">
      <c r="A24" s="63"/>
      <c r="BI24" s="57" t="s">
        <v>42</v>
      </c>
      <c r="BJ24" s="57"/>
      <c r="BK24" s="57"/>
      <c r="BL24" s="57"/>
      <c r="BM24" s="57"/>
      <c r="BN24" s="3">
        <f>BJ23+BL23+BN23</f>
        <v>0</v>
      </c>
    </row>
    <row r="25" spans="1:66" x14ac:dyDescent="0.25">
      <c r="A25" s="63"/>
      <c r="BI25" s="58" t="s">
        <v>43</v>
      </c>
      <c r="BJ25" s="59"/>
      <c r="BK25" s="59"/>
      <c r="BL25" s="59"/>
      <c r="BM25" s="60"/>
      <c r="BN25" s="3">
        <f>BN24/48</f>
        <v>0</v>
      </c>
    </row>
    <row r="26" spans="1:66" ht="15" customHeight="1" x14ac:dyDescent="0.25">
      <c r="A26" s="63"/>
      <c r="B26" s="58" t="s">
        <v>50</v>
      </c>
      <c r="C26" s="59"/>
      <c r="D26" s="59"/>
      <c r="E26" s="60"/>
      <c r="G26" s="56" t="s">
        <v>37</v>
      </c>
      <c r="H26" s="56"/>
      <c r="I26" s="56"/>
      <c r="J26" s="56"/>
      <c r="K26" s="56"/>
      <c r="L26" s="56"/>
      <c r="M26" s="1"/>
      <c r="P26" s="56" t="s">
        <v>37</v>
      </c>
      <c r="Q26" s="56"/>
      <c r="R26" s="56"/>
      <c r="S26" s="56"/>
      <c r="T26" s="56"/>
      <c r="U26" s="56"/>
      <c r="Y26" s="56" t="s">
        <v>37</v>
      </c>
      <c r="Z26" s="56"/>
      <c r="AA26" s="56"/>
      <c r="AB26" s="56"/>
      <c r="AC26" s="56"/>
      <c r="AD26" s="56"/>
      <c r="AE26" s="1"/>
      <c r="AH26" s="56"/>
      <c r="AI26" s="56"/>
      <c r="AJ26" s="56"/>
      <c r="AK26" s="56"/>
      <c r="AL26" s="56"/>
      <c r="AM26" s="56"/>
      <c r="AN26" s="1"/>
      <c r="AQ26" s="56" t="s">
        <v>37</v>
      </c>
      <c r="AR26" s="56"/>
      <c r="AS26" s="56"/>
      <c r="AT26" s="56"/>
      <c r="AU26" s="56"/>
      <c r="AV26" s="56"/>
      <c r="AW26" s="1"/>
      <c r="AZ26" s="56" t="s">
        <v>37</v>
      </c>
      <c r="BA26" s="56"/>
      <c r="BB26" s="56"/>
      <c r="BC26" s="56"/>
      <c r="BD26" s="56"/>
      <c r="BE26" s="56"/>
    </row>
    <row r="27" spans="1:66" x14ac:dyDescent="0.25">
      <c r="A27" s="63"/>
      <c r="B27" s="23"/>
      <c r="C27" s="23"/>
      <c r="D27" s="23"/>
      <c r="E27" s="23"/>
      <c r="G27" s="3" t="s">
        <v>38</v>
      </c>
      <c r="H27" s="6"/>
      <c r="I27" s="3" t="s">
        <v>39</v>
      </c>
      <c r="J27" s="6"/>
      <c r="K27" s="3" t="s">
        <v>40</v>
      </c>
      <c r="L27" s="6"/>
      <c r="M27" s="2" t="s">
        <v>41</v>
      </c>
      <c r="N27">
        <f>(H27+J27+L27)/3</f>
        <v>0</v>
      </c>
      <c r="P27" s="6" t="s">
        <v>38</v>
      </c>
      <c r="Q27" s="6"/>
      <c r="R27" s="6" t="s">
        <v>39</v>
      </c>
      <c r="S27" s="6"/>
      <c r="T27" s="6" t="s">
        <v>40</v>
      </c>
      <c r="U27" s="6"/>
      <c r="V27" s="2" t="s">
        <v>41</v>
      </c>
      <c r="W27">
        <f>(Q27+S27+U27)/3</f>
        <v>0</v>
      </c>
      <c r="Y27" s="6" t="s">
        <v>38</v>
      </c>
      <c r="Z27" s="6"/>
      <c r="AA27" s="6" t="s">
        <v>39</v>
      </c>
      <c r="AB27" s="6"/>
      <c r="AC27" s="6" t="s">
        <v>40</v>
      </c>
      <c r="AD27" s="6"/>
      <c r="AE27" s="2" t="s">
        <v>41</v>
      </c>
      <c r="AF27">
        <f>(Z27+AB27+AD27)/3</f>
        <v>0</v>
      </c>
      <c r="AH27" s="6" t="s">
        <v>38</v>
      </c>
      <c r="AI27" s="6"/>
      <c r="AJ27" s="6" t="s">
        <v>39</v>
      </c>
      <c r="AK27" s="6"/>
      <c r="AL27" s="6" t="s">
        <v>40</v>
      </c>
      <c r="AM27" s="6"/>
      <c r="AN27" s="2" t="s">
        <v>41</v>
      </c>
      <c r="AO27">
        <f>(AI27+AK27+AM27)/3</f>
        <v>0</v>
      </c>
      <c r="AQ27" s="6" t="s">
        <v>38</v>
      </c>
      <c r="AR27" s="6"/>
      <c r="AS27" s="6" t="s">
        <v>39</v>
      </c>
      <c r="AT27" s="6"/>
      <c r="AU27" s="6" t="s">
        <v>40</v>
      </c>
      <c r="AV27" s="6"/>
      <c r="AW27" s="2" t="s">
        <v>41</v>
      </c>
      <c r="AX27">
        <f>(AR27+AT27+AV27)/3</f>
        <v>0</v>
      </c>
      <c r="AZ27" s="6" t="s">
        <v>38</v>
      </c>
      <c r="BA27" s="6"/>
      <c r="BB27" s="6" t="s">
        <v>39</v>
      </c>
      <c r="BC27" s="6"/>
      <c r="BD27" s="6" t="s">
        <v>40</v>
      </c>
      <c r="BE27" s="6"/>
      <c r="BF27" s="2" t="s">
        <v>41</v>
      </c>
      <c r="BG27">
        <f>(BA27+BC27+BE27)/3</f>
        <v>0</v>
      </c>
      <c r="BI27" s="6" t="s">
        <v>38</v>
      </c>
      <c r="BJ27" s="6">
        <f>H27+Q27+Z27+AI27+AR27+BA27</f>
        <v>0</v>
      </c>
      <c r="BK27" s="6" t="s">
        <v>39</v>
      </c>
      <c r="BL27" s="6">
        <f>J27+S27+AB27+AK27+AT27+BC27</f>
        <v>0</v>
      </c>
      <c r="BM27" s="6" t="s">
        <v>40</v>
      </c>
      <c r="BN27" s="6">
        <f>L27+U27+AD27+AM27+AV27+BE27</f>
        <v>0</v>
      </c>
    </row>
    <row r="28" spans="1:66" x14ac:dyDescent="0.25">
      <c r="A28" s="63"/>
      <c r="BI28" s="57" t="s">
        <v>42</v>
      </c>
      <c r="BJ28" s="57"/>
      <c r="BK28" s="57"/>
      <c r="BL28" s="57"/>
      <c r="BM28" s="57"/>
      <c r="BN28" s="3">
        <f>BJ27+BL27+BN27</f>
        <v>0</v>
      </c>
    </row>
    <row r="29" spans="1:66" x14ac:dyDescent="0.25">
      <c r="A29" s="64"/>
      <c r="BI29" s="58" t="s">
        <v>43</v>
      </c>
      <c r="BJ29" s="59"/>
      <c r="BK29" s="59"/>
      <c r="BL29" s="59"/>
      <c r="BM29" s="60"/>
      <c r="BN29" s="3">
        <f>BN28/48</f>
        <v>0</v>
      </c>
    </row>
    <row r="30" spans="1:66" ht="15" customHeight="1" x14ac:dyDescent="0.25">
      <c r="A30" s="66" t="s">
        <v>51</v>
      </c>
      <c r="B30" s="58" t="s">
        <v>52</v>
      </c>
      <c r="C30" s="59"/>
      <c r="D30" s="59"/>
      <c r="E30" s="60"/>
      <c r="G30" s="56" t="s">
        <v>37</v>
      </c>
      <c r="H30" s="56"/>
      <c r="I30" s="56"/>
      <c r="J30" s="56"/>
      <c r="K30" s="56"/>
      <c r="L30" s="56"/>
      <c r="M30" s="1"/>
      <c r="P30" s="56" t="s">
        <v>37</v>
      </c>
      <c r="Q30" s="56"/>
      <c r="R30" s="56"/>
      <c r="S30" s="56"/>
      <c r="T30" s="56"/>
      <c r="U30" s="56"/>
      <c r="Y30" s="56" t="s">
        <v>37</v>
      </c>
      <c r="Z30" s="56"/>
      <c r="AA30" s="56"/>
      <c r="AB30" s="56"/>
      <c r="AC30" s="56"/>
      <c r="AD30" s="56"/>
      <c r="AE30" s="1"/>
      <c r="AH30" s="56"/>
      <c r="AI30" s="56"/>
      <c r="AJ30" s="56"/>
      <c r="AK30" s="56"/>
      <c r="AL30" s="56"/>
      <c r="AM30" s="56"/>
      <c r="AN30" s="1"/>
      <c r="AQ30" s="56" t="s">
        <v>37</v>
      </c>
      <c r="AR30" s="56"/>
      <c r="AS30" s="56"/>
      <c r="AT30" s="56"/>
      <c r="AU30" s="56"/>
      <c r="AV30" s="56"/>
      <c r="AW30" s="1"/>
      <c r="AZ30" s="56" t="s">
        <v>37</v>
      </c>
      <c r="BA30" s="56"/>
      <c r="BB30" s="56"/>
      <c r="BC30" s="56"/>
      <c r="BD30" s="56"/>
      <c r="BE30" s="56"/>
    </row>
    <row r="31" spans="1:66" x14ac:dyDescent="0.25">
      <c r="A31" s="66"/>
      <c r="B31" s="23"/>
      <c r="C31" s="23"/>
      <c r="D31" s="23"/>
      <c r="E31" s="23"/>
      <c r="G31" s="3" t="s">
        <v>38</v>
      </c>
      <c r="H31" s="6"/>
      <c r="I31" s="3" t="s">
        <v>39</v>
      </c>
      <c r="J31" s="6"/>
      <c r="K31" s="3" t="s">
        <v>40</v>
      </c>
      <c r="L31" s="6"/>
      <c r="M31" s="2" t="s">
        <v>41</v>
      </c>
      <c r="N31">
        <f>(H31+J31+L31)/3</f>
        <v>0</v>
      </c>
      <c r="P31" s="6" t="s">
        <v>38</v>
      </c>
      <c r="Q31" s="6"/>
      <c r="R31" s="6" t="s">
        <v>39</v>
      </c>
      <c r="S31" s="6"/>
      <c r="T31" s="6" t="s">
        <v>40</v>
      </c>
      <c r="U31" s="6"/>
      <c r="V31" s="2" t="s">
        <v>41</v>
      </c>
      <c r="W31">
        <f>(Q31+S31+U31)/3</f>
        <v>0</v>
      </c>
      <c r="Y31" s="6" t="s">
        <v>38</v>
      </c>
      <c r="Z31" s="6"/>
      <c r="AA31" s="6" t="s">
        <v>39</v>
      </c>
      <c r="AB31" s="6"/>
      <c r="AC31" s="6" t="s">
        <v>40</v>
      </c>
      <c r="AD31" s="6"/>
      <c r="AE31" s="2" t="s">
        <v>41</v>
      </c>
      <c r="AF31">
        <f>(Z31+AB31+AD31)/3</f>
        <v>0</v>
      </c>
      <c r="AH31" s="6" t="s">
        <v>38</v>
      </c>
      <c r="AI31" s="6"/>
      <c r="AJ31" s="6" t="s">
        <v>39</v>
      </c>
      <c r="AK31" s="6"/>
      <c r="AL31" s="6" t="s">
        <v>40</v>
      </c>
      <c r="AM31" s="6"/>
      <c r="AN31" s="2" t="s">
        <v>41</v>
      </c>
      <c r="AO31">
        <f>(AI31+AK31+AM31)/3</f>
        <v>0</v>
      </c>
      <c r="AQ31" s="6" t="s">
        <v>38</v>
      </c>
      <c r="AR31" s="6"/>
      <c r="AS31" s="6" t="s">
        <v>39</v>
      </c>
      <c r="AT31" s="6"/>
      <c r="AU31" s="6" t="s">
        <v>40</v>
      </c>
      <c r="AV31" s="6"/>
      <c r="AW31" s="2" t="s">
        <v>41</v>
      </c>
      <c r="AX31">
        <f>(AR31+AT31+AV31)/3</f>
        <v>0</v>
      </c>
      <c r="AZ31" s="6" t="s">
        <v>38</v>
      </c>
      <c r="BA31" s="6"/>
      <c r="BB31" s="6" t="s">
        <v>39</v>
      </c>
      <c r="BC31" s="6"/>
      <c r="BD31" s="6" t="s">
        <v>40</v>
      </c>
      <c r="BE31" s="6"/>
      <c r="BF31" s="2" t="s">
        <v>41</v>
      </c>
      <c r="BG31">
        <f>(BA31+BC31+BE31)/3</f>
        <v>0</v>
      </c>
      <c r="BI31" s="6" t="s">
        <v>38</v>
      </c>
      <c r="BJ31" s="6">
        <f>H31+Q31+Z31+AI31+AR31+BA31</f>
        <v>0</v>
      </c>
      <c r="BK31" s="6" t="s">
        <v>39</v>
      </c>
      <c r="BL31" s="6">
        <f>J31+S31+AB31+AK31+AT31+BC31</f>
        <v>0</v>
      </c>
      <c r="BM31" s="6" t="s">
        <v>40</v>
      </c>
      <c r="BN31" s="6">
        <f>L31+U31+AD31+AM31+AV31+BE31</f>
        <v>0</v>
      </c>
    </row>
    <row r="32" spans="1:66" x14ac:dyDescent="0.25">
      <c r="A32" s="66"/>
      <c r="BI32" s="57" t="s">
        <v>42</v>
      </c>
      <c r="BJ32" s="57"/>
      <c r="BK32" s="57"/>
      <c r="BL32" s="57"/>
      <c r="BM32" s="57"/>
      <c r="BN32" s="3">
        <f>BJ31+BL31+BN31</f>
        <v>0</v>
      </c>
    </row>
    <row r="33" spans="1:66" x14ac:dyDescent="0.25">
      <c r="A33" s="66"/>
      <c r="BI33" s="58" t="s">
        <v>43</v>
      </c>
      <c r="BJ33" s="59"/>
      <c r="BK33" s="59"/>
      <c r="BL33" s="59"/>
      <c r="BM33" s="60"/>
      <c r="BN33" s="3">
        <f>BN32/48</f>
        <v>0</v>
      </c>
    </row>
    <row r="34" spans="1:66" ht="15" customHeight="1" x14ac:dyDescent="0.25">
      <c r="A34" s="66"/>
      <c r="B34" s="58" t="s">
        <v>53</v>
      </c>
      <c r="C34" s="59"/>
      <c r="D34" s="59"/>
      <c r="E34" s="60"/>
      <c r="G34" s="56" t="s">
        <v>37</v>
      </c>
      <c r="H34" s="56"/>
      <c r="I34" s="56"/>
      <c r="J34" s="56"/>
      <c r="K34" s="56"/>
      <c r="L34" s="56"/>
      <c r="M34" s="1"/>
      <c r="P34" s="56" t="s">
        <v>37</v>
      </c>
      <c r="Q34" s="56"/>
      <c r="R34" s="56"/>
      <c r="S34" s="56"/>
      <c r="T34" s="56"/>
      <c r="U34" s="56"/>
      <c r="Y34" s="56" t="s">
        <v>37</v>
      </c>
      <c r="Z34" s="56"/>
      <c r="AA34" s="56"/>
      <c r="AB34" s="56"/>
      <c r="AC34" s="56"/>
      <c r="AD34" s="56"/>
      <c r="AE34" s="1"/>
      <c r="AH34" s="56"/>
      <c r="AI34" s="56"/>
      <c r="AJ34" s="56"/>
      <c r="AK34" s="56"/>
      <c r="AL34" s="56"/>
      <c r="AM34" s="56"/>
      <c r="AN34" s="1"/>
      <c r="AQ34" s="56" t="s">
        <v>37</v>
      </c>
      <c r="AR34" s="56"/>
      <c r="AS34" s="56"/>
      <c r="AT34" s="56"/>
      <c r="AU34" s="56"/>
      <c r="AV34" s="56"/>
      <c r="AW34" s="1"/>
      <c r="AZ34" s="56" t="s">
        <v>37</v>
      </c>
      <c r="BA34" s="56"/>
      <c r="BB34" s="56"/>
      <c r="BC34" s="56"/>
      <c r="BD34" s="56"/>
      <c r="BE34" s="56"/>
    </row>
    <row r="35" spans="1:66" x14ac:dyDescent="0.25">
      <c r="A35" s="66"/>
      <c r="B35" s="23"/>
      <c r="C35" s="23"/>
      <c r="D35" s="23"/>
      <c r="E35" s="23"/>
      <c r="G35" s="3" t="s">
        <v>38</v>
      </c>
      <c r="H35" s="6"/>
      <c r="I35" s="3" t="s">
        <v>39</v>
      </c>
      <c r="J35" s="6"/>
      <c r="K35" s="3" t="s">
        <v>40</v>
      </c>
      <c r="L35" s="6"/>
      <c r="M35" s="2" t="s">
        <v>41</v>
      </c>
      <c r="N35">
        <f>(H35+J35+L35)/3</f>
        <v>0</v>
      </c>
      <c r="P35" s="6" t="s">
        <v>38</v>
      </c>
      <c r="Q35" s="6"/>
      <c r="R35" s="6" t="s">
        <v>39</v>
      </c>
      <c r="S35" s="6"/>
      <c r="T35" s="6" t="s">
        <v>40</v>
      </c>
      <c r="U35" s="6"/>
      <c r="V35" s="2" t="s">
        <v>41</v>
      </c>
      <c r="W35">
        <f>(Q35+S35+U35)/3</f>
        <v>0</v>
      </c>
      <c r="Y35" s="6" t="s">
        <v>38</v>
      </c>
      <c r="Z35" s="6"/>
      <c r="AA35" s="6" t="s">
        <v>39</v>
      </c>
      <c r="AB35" s="6"/>
      <c r="AC35" s="6" t="s">
        <v>40</v>
      </c>
      <c r="AD35" s="6"/>
      <c r="AE35" s="2" t="s">
        <v>41</v>
      </c>
      <c r="AF35">
        <f>(Z35+AB35+AD35)/3</f>
        <v>0</v>
      </c>
      <c r="AH35" s="6" t="s">
        <v>38</v>
      </c>
      <c r="AI35" s="6"/>
      <c r="AJ35" s="6" t="s">
        <v>39</v>
      </c>
      <c r="AK35" s="6"/>
      <c r="AL35" s="6" t="s">
        <v>40</v>
      </c>
      <c r="AM35" s="6"/>
      <c r="AN35" s="2" t="s">
        <v>41</v>
      </c>
      <c r="AO35">
        <f>(AI35+AK35+AM35)/3</f>
        <v>0</v>
      </c>
      <c r="AQ35" s="6" t="s">
        <v>38</v>
      </c>
      <c r="AR35" s="6"/>
      <c r="AS35" s="6" t="s">
        <v>39</v>
      </c>
      <c r="AT35" s="6"/>
      <c r="AU35" s="6" t="s">
        <v>40</v>
      </c>
      <c r="AV35" s="6"/>
      <c r="AW35" s="2" t="s">
        <v>41</v>
      </c>
      <c r="AX35">
        <f>(AR35+AT35+AV35)/3</f>
        <v>0</v>
      </c>
      <c r="AZ35" s="6" t="s">
        <v>38</v>
      </c>
      <c r="BA35" s="6"/>
      <c r="BB35" s="6" t="s">
        <v>39</v>
      </c>
      <c r="BC35" s="6"/>
      <c r="BD35" s="6" t="s">
        <v>40</v>
      </c>
      <c r="BE35" s="6"/>
      <c r="BF35" s="2" t="s">
        <v>41</v>
      </c>
      <c r="BG35">
        <f>(BA35+BC35+BE35)/3</f>
        <v>0</v>
      </c>
      <c r="BI35" s="6" t="s">
        <v>38</v>
      </c>
      <c r="BJ35" s="6">
        <f>H35+Q35+Z35+AI35+AR35+BA35</f>
        <v>0</v>
      </c>
      <c r="BK35" s="6" t="s">
        <v>39</v>
      </c>
      <c r="BL35" s="6">
        <f>J35+S35+AB35+AK35+AT35+BC35</f>
        <v>0</v>
      </c>
      <c r="BM35" s="6" t="s">
        <v>40</v>
      </c>
      <c r="BN35" s="6">
        <f>L35+U35+AD35+AM35+AV35+BE35</f>
        <v>0</v>
      </c>
    </row>
    <row r="36" spans="1:66" x14ac:dyDescent="0.25">
      <c r="A36" s="66"/>
      <c r="BI36" s="57" t="s">
        <v>42</v>
      </c>
      <c r="BJ36" s="57"/>
      <c r="BK36" s="57"/>
      <c r="BL36" s="57"/>
      <c r="BM36" s="57"/>
      <c r="BN36" s="3">
        <f>BJ35+BL35+BN35</f>
        <v>0</v>
      </c>
    </row>
    <row r="37" spans="1:66" x14ac:dyDescent="0.25">
      <c r="A37" s="66"/>
      <c r="BI37" s="58" t="s">
        <v>43</v>
      </c>
      <c r="BJ37" s="59"/>
      <c r="BK37" s="59"/>
      <c r="BL37" s="59"/>
      <c r="BM37" s="60"/>
      <c r="BN37" s="3">
        <f>BN36/48</f>
        <v>0</v>
      </c>
    </row>
    <row r="39" spans="1:66" x14ac:dyDescent="0.25">
      <c r="G39" s="2" t="s">
        <v>29</v>
      </c>
      <c r="H39" s="61" t="s">
        <v>54</v>
      </c>
      <c r="I39" s="61"/>
      <c r="J39" s="61"/>
      <c r="K39" s="61"/>
      <c r="L39" s="61"/>
      <c r="M39" s="61"/>
      <c r="N39" s="61"/>
      <c r="O39" s="61"/>
      <c r="P39" s="61"/>
      <c r="Q39" s="61"/>
      <c r="R39" s="61"/>
    </row>
    <row r="40" spans="1:66" x14ac:dyDescent="0.25">
      <c r="G40" s="2" t="s">
        <v>15</v>
      </c>
      <c r="H40" s="19" t="s">
        <v>55</v>
      </c>
      <c r="I40" s="19"/>
      <c r="J40" s="19"/>
      <c r="K40" s="19"/>
      <c r="L40" s="19"/>
      <c r="M40" s="19"/>
      <c r="N40" s="19"/>
      <c r="O40" s="19"/>
      <c r="P40" s="19"/>
      <c r="Q40" s="19"/>
      <c r="R40" s="19"/>
    </row>
    <row r="41" spans="1:66" x14ac:dyDescent="0.25">
      <c r="G41" s="2" t="s">
        <v>18</v>
      </c>
      <c r="H41" s="19" t="s">
        <v>56</v>
      </c>
      <c r="I41" s="19"/>
      <c r="J41" s="19"/>
      <c r="K41" s="19"/>
      <c r="L41" s="19"/>
      <c r="M41" s="19"/>
      <c r="N41" s="19"/>
      <c r="O41" s="19"/>
      <c r="P41" s="19"/>
      <c r="Q41" s="19"/>
      <c r="R41" s="19"/>
    </row>
    <row r="42" spans="1:66" x14ac:dyDescent="0.25">
      <c r="G42" s="2" t="s">
        <v>20</v>
      </c>
      <c r="H42" s="19" t="s">
        <v>57</v>
      </c>
      <c r="I42" s="19"/>
      <c r="J42" s="19"/>
      <c r="K42" s="19"/>
      <c r="L42" s="19"/>
      <c r="M42" s="19"/>
      <c r="N42" s="19"/>
      <c r="O42" s="19"/>
      <c r="P42" s="19"/>
      <c r="Q42" s="19"/>
      <c r="R42" s="19"/>
      <c r="BI42" s="55" t="s">
        <v>58</v>
      </c>
      <c r="BJ42" s="55"/>
      <c r="BK42" s="55"/>
      <c r="BL42" s="55"/>
      <c r="BM42" s="55"/>
      <c r="BN42">
        <f>BJ19+BJ23+BJ27+BJ31+BJ35+BJ15+BJ11+BJ7</f>
        <v>15</v>
      </c>
    </row>
    <row r="43" spans="1:66" x14ac:dyDescent="0.25">
      <c r="BI43" s="55" t="s">
        <v>59</v>
      </c>
      <c r="BJ43" s="55"/>
      <c r="BK43" s="55"/>
      <c r="BL43" s="55"/>
      <c r="BM43" s="55"/>
      <c r="BN43">
        <f>BL19+BL23+BL27+BL31+BL35+BL15+BL11+BL7</f>
        <v>8</v>
      </c>
    </row>
    <row r="44" spans="1:66" x14ac:dyDescent="0.25">
      <c r="H44" s="19" t="s">
        <v>60</v>
      </c>
      <c r="BI44" s="55" t="s">
        <v>61</v>
      </c>
      <c r="BJ44" s="55"/>
      <c r="BK44" s="55"/>
      <c r="BL44" s="55"/>
      <c r="BM44" s="55"/>
      <c r="BN44">
        <f>BN19+BN23+BN27+BN31+BN35+BN15+BN11+BN7</f>
        <v>22</v>
      </c>
    </row>
    <row r="45" spans="1:66" x14ac:dyDescent="0.25">
      <c r="G45" s="24"/>
      <c r="H45" s="19" t="s">
        <v>62</v>
      </c>
      <c r="BI45" s="55" t="s">
        <v>63</v>
      </c>
      <c r="BJ45" s="55"/>
      <c r="BK45" s="55"/>
      <c r="BL45" s="55"/>
      <c r="BM45" s="55"/>
    </row>
    <row r="46" spans="1:66" x14ac:dyDescent="0.25">
      <c r="G46" s="25"/>
      <c r="H46" s="19" t="s">
        <v>64</v>
      </c>
      <c r="BI46" s="55" t="s">
        <v>65</v>
      </c>
      <c r="BJ46" s="55"/>
      <c r="BK46" s="55"/>
      <c r="BL46" s="55"/>
      <c r="BM46" s="55"/>
    </row>
    <row r="47" spans="1:66" x14ac:dyDescent="0.25">
      <c r="G47" s="26"/>
      <c r="H47" s="19" t="s">
        <v>66</v>
      </c>
      <c r="BI47" s="55" t="s">
        <v>67</v>
      </c>
      <c r="BJ47" s="55"/>
      <c r="BK47" s="55"/>
      <c r="BL47" s="55"/>
      <c r="BM47" s="55"/>
    </row>
    <row r="48" spans="1:66" x14ac:dyDescent="0.25">
      <c r="G48" s="27"/>
      <c r="H48" s="19" t="s">
        <v>68</v>
      </c>
      <c r="BI48" s="13" t="s">
        <v>69</v>
      </c>
      <c r="BJ48" s="13"/>
      <c r="BK48" s="13"/>
      <c r="BL48" s="13"/>
      <c r="BM48" s="13"/>
      <c r="BN48">
        <f>BN42+BN43+BN44+BN45+BN46+BN47</f>
        <v>45</v>
      </c>
    </row>
    <row r="49" spans="7:66" x14ac:dyDescent="0.25">
      <c r="G49" s="28"/>
      <c r="H49" s="19" t="s">
        <v>70</v>
      </c>
      <c r="BI49" s="13" t="s">
        <v>71</v>
      </c>
      <c r="BJ49" s="13"/>
      <c r="BK49" s="13"/>
      <c r="BL49" s="13"/>
      <c r="BM49" s="13"/>
      <c r="BN49">
        <f>BN48/48</f>
        <v>0.9375</v>
      </c>
    </row>
    <row r="50" spans="7:66" x14ac:dyDescent="0.25">
      <c r="G50" s="29"/>
      <c r="H50" s="19" t="s">
        <v>72</v>
      </c>
    </row>
    <row r="51" spans="7:66" x14ac:dyDescent="0.25">
      <c r="G51" s="30"/>
      <c r="H51" s="19" t="s">
        <v>73</v>
      </c>
    </row>
    <row r="52" spans="7:66" x14ac:dyDescent="0.25">
      <c r="G52" s="30"/>
      <c r="H52" s="19" t="s">
        <v>74</v>
      </c>
    </row>
    <row r="53" spans="7:66" x14ac:dyDescent="0.25">
      <c r="X53" s="2" t="s">
        <v>75</v>
      </c>
      <c r="AK53" s="2" t="s">
        <v>76</v>
      </c>
      <c r="AL53" s="2"/>
    </row>
  </sheetData>
  <mergeCells count="84">
    <mergeCell ref="B18:E18"/>
    <mergeCell ref="Y6:AD6"/>
    <mergeCell ref="AH6:AM6"/>
    <mergeCell ref="AQ6:AV6"/>
    <mergeCell ref="A30:A37"/>
    <mergeCell ref="AQ34:AV34"/>
    <mergeCell ref="G34:L34"/>
    <mergeCell ref="P34:U34"/>
    <mergeCell ref="Y34:AD34"/>
    <mergeCell ref="AH34:AM34"/>
    <mergeCell ref="B30:E30"/>
    <mergeCell ref="B34:E34"/>
    <mergeCell ref="G30:L30"/>
    <mergeCell ref="P30:U30"/>
    <mergeCell ref="Y30:AD30"/>
    <mergeCell ref="AH30:AM30"/>
    <mergeCell ref="P6:U6"/>
    <mergeCell ref="A1:BN3"/>
    <mergeCell ref="B6:E6"/>
    <mergeCell ref="B10:E10"/>
    <mergeCell ref="B14:E14"/>
    <mergeCell ref="AZ6:BE6"/>
    <mergeCell ref="G26:L26"/>
    <mergeCell ref="BI8:BM8"/>
    <mergeCell ref="A6:A13"/>
    <mergeCell ref="A14:A21"/>
    <mergeCell ref="A22:A29"/>
    <mergeCell ref="BI9:BM9"/>
    <mergeCell ref="BI12:BM12"/>
    <mergeCell ref="BI13:BM13"/>
    <mergeCell ref="BI16:BM16"/>
    <mergeCell ref="BI17:BM17"/>
    <mergeCell ref="B22:E22"/>
    <mergeCell ref="AZ22:BE22"/>
    <mergeCell ref="AZ10:BE10"/>
    <mergeCell ref="B26:E26"/>
    <mergeCell ref="G6:L6"/>
    <mergeCell ref="BI20:BM20"/>
    <mergeCell ref="BI21:BM21"/>
    <mergeCell ref="G10:L10"/>
    <mergeCell ref="P10:U10"/>
    <mergeCell ref="Y10:AD10"/>
    <mergeCell ref="AH10:AM10"/>
    <mergeCell ref="AQ10:AV10"/>
    <mergeCell ref="AZ14:BE14"/>
    <mergeCell ref="G18:L18"/>
    <mergeCell ref="P18:U18"/>
    <mergeCell ref="Y18:AD18"/>
    <mergeCell ref="AH18:AM18"/>
    <mergeCell ref="AQ18:AV18"/>
    <mergeCell ref="AZ18:BE18"/>
    <mergeCell ref="G14:L14"/>
    <mergeCell ref="P14:U14"/>
    <mergeCell ref="Y14:AD14"/>
    <mergeCell ref="AH14:AM14"/>
    <mergeCell ref="AQ14:AV14"/>
    <mergeCell ref="H39:R39"/>
    <mergeCell ref="BI42:BM42"/>
    <mergeCell ref="BI43:BM43"/>
    <mergeCell ref="G22:L22"/>
    <mergeCell ref="P22:U22"/>
    <mergeCell ref="BI24:BM24"/>
    <mergeCell ref="BI25:BM25"/>
    <mergeCell ref="AQ22:AV22"/>
    <mergeCell ref="P26:U26"/>
    <mergeCell ref="Y22:AD22"/>
    <mergeCell ref="AH22:AM22"/>
    <mergeCell ref="AZ34:BE34"/>
    <mergeCell ref="BI46:BM46"/>
    <mergeCell ref="BI47:BM47"/>
    <mergeCell ref="Y26:AD26"/>
    <mergeCell ref="AH26:AM26"/>
    <mergeCell ref="AQ26:AV26"/>
    <mergeCell ref="BI32:BM32"/>
    <mergeCell ref="BI33:BM33"/>
    <mergeCell ref="AZ26:BE26"/>
    <mergeCell ref="BI44:BM44"/>
    <mergeCell ref="BI28:BM28"/>
    <mergeCell ref="BI29:BM29"/>
    <mergeCell ref="AQ30:AV30"/>
    <mergeCell ref="AZ30:BE30"/>
    <mergeCell ref="BI45:BM45"/>
    <mergeCell ref="BI36:BM36"/>
    <mergeCell ref="BI37:BM37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306F8-45C3-43DC-9ABD-CC8EE930A5E8}">
  <dimension ref="A1:Z33"/>
  <sheetViews>
    <sheetView zoomScale="64" zoomScaleNormal="85" workbookViewId="0">
      <selection activeCell="Q37" sqref="Q37"/>
    </sheetView>
  </sheetViews>
  <sheetFormatPr baseColWidth="10" defaultColWidth="9.140625" defaultRowHeight="15" x14ac:dyDescent="0.25"/>
  <cols>
    <col min="1" max="20" width="11.42578125" customWidth="1"/>
    <col min="21" max="21" width="12.85546875" customWidth="1"/>
    <col min="22" max="22" width="14.5703125" customWidth="1"/>
    <col min="23" max="23" width="16.140625" customWidth="1"/>
    <col min="24" max="256" width="11.42578125" customWidth="1"/>
  </cols>
  <sheetData>
    <row r="1" spans="1:26" x14ac:dyDescent="0.25">
      <c r="A1" s="65" t="s">
        <v>77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</row>
    <row r="2" spans="1:26" x14ac:dyDescent="0.25">
      <c r="A2" s="65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</row>
    <row r="3" spans="1:26" x14ac:dyDescent="0.25">
      <c r="A3" s="67" t="s">
        <v>78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</row>
    <row r="4" spans="1:26" x14ac:dyDescent="0.25">
      <c r="A4" s="85" t="s">
        <v>79</v>
      </c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</row>
    <row r="5" spans="1:26" ht="15" customHeight="1" x14ac:dyDescent="0.25">
      <c r="A5" s="74" t="s">
        <v>80</v>
      </c>
      <c r="B5" s="74"/>
      <c r="C5" s="74"/>
      <c r="D5" s="74"/>
      <c r="E5" s="74"/>
      <c r="F5" s="74"/>
      <c r="G5" s="74"/>
      <c r="H5" s="74"/>
      <c r="I5" s="74"/>
      <c r="J5" s="74"/>
      <c r="K5" s="14"/>
      <c r="L5" s="75" t="s">
        <v>81</v>
      </c>
      <c r="M5" s="75"/>
      <c r="N5" s="75"/>
      <c r="O5" s="75"/>
      <c r="P5" s="75"/>
      <c r="Q5" s="75"/>
      <c r="R5" s="75"/>
      <c r="S5" s="75"/>
      <c r="T5" s="75"/>
      <c r="U5" s="70" t="s">
        <v>82</v>
      </c>
      <c r="V5" s="71"/>
      <c r="W5" s="71"/>
    </row>
    <row r="6" spans="1:26" x14ac:dyDescent="0.25">
      <c r="A6" s="76"/>
      <c r="B6" s="77"/>
      <c r="C6" s="77"/>
      <c r="D6" s="78"/>
      <c r="E6" s="79" t="s">
        <v>83</v>
      </c>
      <c r="F6" s="79"/>
      <c r="G6" s="80"/>
      <c r="H6" s="81" t="s">
        <v>84</v>
      </c>
      <c r="I6" s="79"/>
      <c r="J6" s="80"/>
      <c r="K6" s="82"/>
      <c r="L6" s="83"/>
      <c r="M6" s="83"/>
      <c r="N6" s="84"/>
      <c r="O6" s="75" t="s">
        <v>83</v>
      </c>
      <c r="P6" s="75"/>
      <c r="Q6" s="75"/>
      <c r="R6" s="82" t="s">
        <v>84</v>
      </c>
      <c r="S6" s="83"/>
      <c r="T6" s="84"/>
      <c r="U6" s="72"/>
      <c r="V6" s="73"/>
      <c r="W6" s="73"/>
    </row>
    <row r="7" spans="1:26" ht="90" x14ac:dyDescent="0.25">
      <c r="A7" s="20" t="s">
        <v>85</v>
      </c>
      <c r="B7" s="20" t="s">
        <v>2</v>
      </c>
      <c r="C7" s="20" t="s">
        <v>1</v>
      </c>
      <c r="D7" s="20" t="s">
        <v>3</v>
      </c>
      <c r="E7" s="21" t="s">
        <v>86</v>
      </c>
      <c r="F7" s="21" t="s">
        <v>87</v>
      </c>
      <c r="G7" s="22" t="s">
        <v>88</v>
      </c>
      <c r="H7" s="22" t="s">
        <v>89</v>
      </c>
      <c r="I7" s="22" t="s">
        <v>90</v>
      </c>
      <c r="J7" s="22" t="s">
        <v>91</v>
      </c>
      <c r="K7" s="15" t="s">
        <v>85</v>
      </c>
      <c r="L7" s="15" t="s">
        <v>2</v>
      </c>
      <c r="M7" s="15" t="s">
        <v>1</v>
      </c>
      <c r="N7" s="15" t="s">
        <v>3</v>
      </c>
      <c r="O7" s="16" t="s">
        <v>86</v>
      </c>
      <c r="P7" s="16" t="s">
        <v>87</v>
      </c>
      <c r="Q7" s="17" t="s">
        <v>88</v>
      </c>
      <c r="R7" s="17" t="s">
        <v>89</v>
      </c>
      <c r="S7" s="17" t="s">
        <v>90</v>
      </c>
      <c r="T7" s="17" t="s">
        <v>91</v>
      </c>
      <c r="U7" s="18" t="s">
        <v>92</v>
      </c>
      <c r="V7" s="18" t="s">
        <v>93</v>
      </c>
      <c r="W7" s="18" t="s">
        <v>94</v>
      </c>
      <c r="X7" s="1"/>
      <c r="Y7" s="1"/>
      <c r="Z7" s="1"/>
    </row>
    <row r="8" spans="1:26" x14ac:dyDescent="0.25">
      <c r="A8" s="6"/>
      <c r="B8" s="6"/>
      <c r="C8" s="6"/>
      <c r="D8" s="6"/>
      <c r="E8" s="6"/>
      <c r="F8" s="6"/>
      <c r="G8" s="6"/>
      <c r="H8" s="6">
        <f>E8+F8+G8</f>
        <v>0</v>
      </c>
      <c r="I8" s="6">
        <f>H8*16</f>
        <v>0</v>
      </c>
      <c r="J8" s="6">
        <f>I8/48</f>
        <v>0</v>
      </c>
      <c r="K8" s="6"/>
      <c r="L8" s="6"/>
      <c r="M8" s="6"/>
      <c r="N8" s="6"/>
      <c r="O8" s="6"/>
      <c r="P8" s="6"/>
      <c r="Q8" s="6"/>
      <c r="R8" s="6">
        <f>O8+P8+Q8</f>
        <v>0</v>
      </c>
      <c r="S8" s="6">
        <f>R8*16</f>
        <v>0</v>
      </c>
      <c r="T8" s="6">
        <f>S8/48</f>
        <v>0</v>
      </c>
      <c r="U8" s="6"/>
      <c r="V8" s="6"/>
      <c r="W8" s="6"/>
    </row>
    <row r="9" spans="1:26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</row>
    <row r="10" spans="1:26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</row>
    <row r="11" spans="1:26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</row>
    <row r="12" spans="1:26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</row>
    <row r="13" spans="1:26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</row>
    <row r="14" spans="1:26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6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</row>
    <row r="16" spans="1:26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</row>
    <row r="17" spans="1:23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 spans="1:23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 spans="1:23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</row>
    <row r="20" spans="1:23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</row>
    <row r="21" spans="1:23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</row>
    <row r="22" spans="1:23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</row>
    <row r="23" spans="1:23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</row>
    <row r="24" spans="1:23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</row>
    <row r="25" spans="1:23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</row>
    <row r="26" spans="1:23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</row>
    <row r="27" spans="1:23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</row>
    <row r="28" spans="1:23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</row>
    <row r="29" spans="1:23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</row>
    <row r="30" spans="1:23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</row>
    <row r="31" spans="1:23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</row>
    <row r="32" spans="1:23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</row>
    <row r="33" spans="8:20" x14ac:dyDescent="0.25">
      <c r="H33" s="2" t="s">
        <v>95</v>
      </c>
      <c r="I33">
        <f>SUM(I8:I32)</f>
        <v>0</v>
      </c>
      <c r="J33">
        <f>SUM(J8:J32)</f>
        <v>0</v>
      </c>
      <c r="R33" s="2" t="s">
        <v>95</v>
      </c>
      <c r="S33">
        <f>SUM(S8:S32)</f>
        <v>0</v>
      </c>
      <c r="T33">
        <f>SUM(T8:T32)</f>
        <v>0</v>
      </c>
    </row>
  </sheetData>
  <mergeCells count="14">
    <mergeCell ref="A3:C3"/>
    <mergeCell ref="D3:W3"/>
    <mergeCell ref="D4:W4"/>
    <mergeCell ref="U5:W6"/>
    <mergeCell ref="A1:W2"/>
    <mergeCell ref="A5:J5"/>
    <mergeCell ref="L5:T5"/>
    <mergeCell ref="A6:D6"/>
    <mergeCell ref="E6:G6"/>
    <mergeCell ref="H6:J6"/>
    <mergeCell ref="K6:N6"/>
    <mergeCell ref="O6:Q6"/>
    <mergeCell ref="R6:T6"/>
    <mergeCell ref="A4:C4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D056AFC88326C4799448B54C880494B" ma:contentTypeVersion="0" ma:contentTypeDescription="Crear nuevo documento." ma:contentTypeScope="" ma:versionID="4e1e4b56ebf0b63f67924dd21a513bd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26ff3a126252e742cc2543983a566b0e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0D9287C-CE41-4A48-B358-97A71E5FD6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C29C807D-6D16-46D1-BB9C-632513C228B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MODIFICACIONES EN ASIGNATURAS</vt:lpstr>
      <vt:lpstr>MALLA CURRICULAR</vt:lpstr>
      <vt:lpstr>TABLA DE EQUIVALENCIAS</vt:lpstr>
    </vt:vector>
  </TitlesOfParts>
  <Manager/>
  <Company>ESPOL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Freddy Ronald Veloz De La Torre</dc:creator>
  <cp:keywords/>
  <dc:description/>
  <cp:lastModifiedBy>estudiante</cp:lastModifiedBy>
  <cp:revision/>
  <dcterms:created xsi:type="dcterms:W3CDTF">2026-08-18T16:08:54Z</dcterms:created>
  <dcterms:modified xsi:type="dcterms:W3CDTF">2026-08-26T17:47:09Z</dcterms:modified>
  <cp:category/>
  <cp:contentStatus/>
</cp:coreProperties>
</file>